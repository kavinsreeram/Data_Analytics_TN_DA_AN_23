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5077468-635E-4052-831F-19DEAEC2551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 Dataset" sheetId="2" r:id="rId1"/>
    <sheet name="Solutio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4" l="1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6" i="4"/>
  <c r="H27" i="4"/>
  <c r="H28" i="4"/>
  <c r="H29" i="4"/>
  <c r="H30" i="4"/>
  <c r="H31" i="4"/>
  <c r="H32" i="4"/>
  <c r="H33" i="4"/>
  <c r="H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8" i="4"/>
  <c r="G4" i="4"/>
  <c r="G5" i="4"/>
  <c r="G6" i="4"/>
  <c r="G7" i="4"/>
  <c r="G3" i="4"/>
</calcChain>
</file>

<file path=xl/sharedStrings.xml><?xml version="1.0" encoding="utf-8"?>
<sst xmlns="http://schemas.openxmlformats.org/spreadsheetml/2006/main" count="273" uniqueCount="105">
  <si>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</si>
  <si>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</si>
  <si>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</si>
  <si>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</si>
  <si>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</si>
  <si>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</si>
  <si>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</si>
  <si>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</si>
  <si>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</si>
  <si>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</si>
  <si>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</si>
  <si>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</si>
  <si>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</si>
  <si>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</si>
  <si>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</si>
  <si>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</si>
  <si>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</si>
  <si>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</si>
  <si>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</si>
  <si>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</si>
  <si>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</si>
  <si>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</si>
  <si>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</si>
  <si>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</si>
  <si>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</si>
  <si>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</si>
  <si>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</si>
  <si>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</si>
  <si>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</si>
  <si>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</si>
  <si>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</si>
  <si>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</si>
  <si>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</si>
  <si>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</si>
  <si>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</si>
  <si>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</si>
  <si>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</si>
  <si>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</si>
  <si>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</si>
  <si>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</si>
  <si>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</si>
  <si>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</si>
  <si>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</si>
  <si>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</si>
  <si>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</si>
  <si>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</si>
  <si>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</si>
  <si>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</si>
  <si>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</si>
  <si>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</si>
  <si>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</si>
  <si>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</si>
  <si>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</si>
  <si>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</si>
  <si>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</si>
  <si>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</si>
  <si>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</si>
  <si>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</si>
  <si>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</si>
  <si>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</si>
  <si>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</si>
  <si>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</si>
  <si>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</si>
  <si>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</si>
  <si>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</si>
  <si>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</si>
  <si>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</si>
  <si>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</si>
  <si>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</si>
  <si>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</si>
  <si>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</si>
  <si>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</si>
  <si>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</si>
  <si>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</si>
  <si>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</si>
  <si>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</si>
  <si>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</si>
  <si>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</si>
  <si>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</si>
  <si>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</si>
  <si>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</si>
  <si>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</si>
  <si>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</si>
  <si>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</si>
  <si>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</si>
  <si>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</si>
  <si>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</si>
  <si>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</si>
  <si>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</si>
  <si>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</si>
  <si>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</si>
  <si>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</si>
  <si>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</si>
  <si>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</si>
  <si>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</si>
  <si>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</si>
  <si>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</si>
  <si>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2.Product Name</t>
  </si>
  <si>
    <t xml:space="preserve">1A.Price </t>
  </si>
  <si>
    <t>1B.Category</t>
  </si>
  <si>
    <t>4.1.A.Manufacture Date</t>
  </si>
  <si>
    <t>4.1.B.Country Code</t>
  </si>
  <si>
    <t>4.2.Product Brand</t>
  </si>
  <si>
    <t>Assignment 02</t>
  </si>
  <si>
    <t>5.Manufacture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</si>
</sst>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7" formatCode="[$₹-449]\ #,##0.00"/>
    <numFmt numFmtId="169" formatCode="[$-14009]dd\-mm\-yyyy;@"/>
  </numFmts>
  <fonts count="6">
    <font>
      <sz val="10"/>
      <color rgb="FF000000"/>
      <name val="Arial"/>
      <charset val="13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rgb="FF4DD0E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167" fontId="2" fillId="0" borderId="0" xfId="0" applyNumberFormat="1" applyFont="1"/>
    <xf numFmtId="167" fontId="0" fillId="0" borderId="0" xfId="0" applyNumberFormat="1"/>
    <xf numFmtId="169" fontId="0" fillId="0" borderId="0" xfId="0" applyNumberFormat="1"/>
    <xf numFmtId="0" fontId="2" fillId="0" borderId="1" xfId="0" applyFont="1" applyBorder="1"/>
    <xf numFmtId="167" fontId="2" fillId="0" borderId="1" xfId="0" applyNumberFormat="1" applyFont="1" applyBorder="1"/>
    <xf numFmtId="0" fontId="0" fillId="0" borderId="1" xfId="0" applyBorder="1"/>
    <xf numFmtId="169" fontId="2" fillId="0" borderId="1" xfId="0" applyNumberFormat="1" applyFont="1" applyBorder="1"/>
    <xf numFmtId="0" fontId="2" fillId="3" borderId="1" xfId="0" applyFont="1" applyFill="1" applyBorder="1"/>
    <xf numFmtId="0" fontId="5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67" fontId="1" fillId="5" borderId="1" xfId="0" applyNumberFormat="1" applyFont="1" applyFill="1" applyBorder="1" applyAlignment="1">
      <alignment horizontal="center"/>
    </xf>
    <xf numFmtId="169" fontId="1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20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opLeftCell="A18" workbookViewId="0">
      <selection sqref="A1:F35"/>
    </sheetView>
  </sheetViews>
  <sheetFormatPr defaultColWidth="12.6640625" defaultRowHeight="15" customHeight="1"/>
  <cols>
    <col min="1" max="6" width="12.6640625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ht="15.75" customHeight="1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6" ht="15.75" customHeight="1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2"/>
      <c r="K3" s="2"/>
      <c r="L3" s="2"/>
      <c r="M3" s="2"/>
      <c r="N3" s="2"/>
      <c r="O3" s="2"/>
      <c r="P3" s="2"/>
    </row>
    <row r="4" spans="1:16" ht="15.75" customHeight="1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2"/>
      <c r="J4" s="5"/>
      <c r="K4" s="2"/>
      <c r="L4" s="2"/>
      <c r="M4" s="2"/>
      <c r="N4" s="2"/>
      <c r="O4" s="2"/>
      <c r="P4" s="2"/>
    </row>
    <row r="5" spans="1:16" ht="15.75" customHeight="1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2"/>
      <c r="J5" s="5"/>
      <c r="K5" s="2"/>
      <c r="L5" s="2"/>
      <c r="M5" s="2"/>
      <c r="N5" s="2"/>
      <c r="O5" s="2"/>
      <c r="P5" s="2"/>
    </row>
    <row r="6" spans="1:16" ht="15.75" customHeight="1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16" ht="15.75" customHeight="1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16" ht="15.75" customHeight="1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6" ht="15.75" customHeight="1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6" ht="15.75" customHeight="1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6" ht="15.75" customHeight="1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16" ht="15.75" customHeight="1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16" ht="15.75" customHeight="1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16" ht="15.75" customHeight="1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16" ht="15.75" customHeight="1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16" ht="15.75" customHeight="1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 ht="15.75" customHeight="1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 ht="15.75" customHeight="1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 ht="15.75" customHeight="1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 ht="15.75" customHeight="1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 ht="15.75" customHeight="1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 ht="15.75" customHeight="1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 ht="15.75" customHeight="1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 ht="15.75" customHeight="1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 ht="15.75" customHeight="1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 ht="15.75" customHeight="1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 ht="15.75" customHeight="1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 ht="15.75" customHeight="1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 ht="15.75" customHeight="1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 ht="15.75" customHeight="1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 ht="15.75" customHeight="1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 ht="15.75" customHeight="1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 ht="15.75" customHeight="1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 ht="15.75" customHeight="1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 ht="15.75" customHeight="1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5B202-EDC4-4AEE-9C7E-33CC4952B94F}">
  <sheetPr>
    <outlinePr summaryBelow="0" summaryRight="0"/>
  </sheetPr>
  <dimension ref="A1:P1001"/>
  <sheetViews>
    <sheetView tabSelected="1" workbookViewId="0">
      <selection activeCell="I9" sqref="I9"/>
    </sheetView>
  </sheetViews>
  <sheetFormatPr defaultColWidth="12.6640625" defaultRowHeight="15" customHeight="1"/>
  <cols>
    <col min="1" max="1" width="10.77734375" bestFit="1" customWidth="1"/>
    <col min="2" max="2" width="13.6640625" bestFit="1" customWidth="1"/>
    <col min="3" max="3" width="11.77734375" bestFit="1" customWidth="1"/>
    <col min="4" max="4" width="8.33203125" bestFit="1" customWidth="1"/>
    <col min="5" max="5" width="8.44140625" bestFit="1" customWidth="1"/>
    <col min="6" max="6" width="11" bestFit="1" customWidth="1"/>
    <col min="7" max="7" width="13.5546875" style="7" customWidth="1"/>
    <col min="8" max="8" width="13.5546875" customWidth="1"/>
    <col min="9" max="9" width="16.109375" customWidth="1"/>
    <col min="10" max="10" width="22.6640625" customWidth="1"/>
    <col min="11" max="11" width="18.44140625" bestFit="1" customWidth="1"/>
    <col min="12" max="12" width="21.44140625" bestFit="1" customWidth="1"/>
    <col min="13" max="13" width="18.77734375" style="8" customWidth="1"/>
  </cols>
  <sheetData>
    <row r="1" spans="1:16" ht="15" customHeight="1">
      <c r="A1" s="14" t="s">
        <v>103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6" ht="15.75" customHeight="1">
      <c r="A2" s="15" t="s">
        <v>0</v>
      </c>
      <c r="B2" s="15" t="s">
        <v>1</v>
      </c>
      <c r="C2" s="15" t="s">
        <v>2</v>
      </c>
      <c r="D2" s="15" t="s">
        <v>3</v>
      </c>
      <c r="E2" s="15" t="s">
        <v>4</v>
      </c>
      <c r="F2" s="15" t="s">
        <v>5</v>
      </c>
      <c r="G2" s="16" t="s">
        <v>98</v>
      </c>
      <c r="H2" s="15" t="s">
        <v>99</v>
      </c>
      <c r="I2" s="15" t="s">
        <v>97</v>
      </c>
      <c r="J2" s="15" t="s">
        <v>100</v>
      </c>
      <c r="K2" s="15" t="s">
        <v>101</v>
      </c>
      <c r="L2" s="15" t="s">
        <v>102</v>
      </c>
      <c r="M2" s="17" t="s">
        <v>104</v>
      </c>
    </row>
    <row r="3" spans="1:16" ht="15.75" customHeight="1">
      <c r="A3" s="9" t="s">
        <v>6</v>
      </c>
      <c r="B3" s="9" t="s">
        <v>7</v>
      </c>
      <c r="C3" s="9" t="s">
        <v>8</v>
      </c>
      <c r="D3" s="9">
        <v>1000</v>
      </c>
      <c r="E3" s="9">
        <v>30</v>
      </c>
      <c r="F3" s="9" t="s">
        <v>9</v>
      </c>
      <c r="G3" s="10">
        <f>IF(ISBLANK(D3),MEDIAN($D$3:$D$36),D3)</f>
        <v>1000</v>
      </c>
      <c r="H3" s="9" t="str">
        <f>(IF(F3="",IF(B3="Backpack","Accessories",IF(B3="Sneakers","Fashion",IF(B3="Coffee Maker","Kitchen",""))),F3))</f>
        <v>Electronics</v>
      </c>
      <c r="I3" s="9" t="str">
        <f>PROPER(B3)</f>
        <v>Laptop</v>
      </c>
      <c r="J3" s="9" t="str">
        <f>LEFT(A3,6)</f>
        <v>28-JAN</v>
      </c>
      <c r="K3" s="11" t="str">
        <f>RIGHT(A3,2)</f>
        <v>US</v>
      </c>
      <c r="L3" s="11" t="str">
        <f>_xlfn.CONCAT(C3," ",B3)</f>
        <v>Dell laptop</v>
      </c>
      <c r="M3" s="12">
        <f>DATEVALUE(LEFT(A3,6)&amp;"-2026")</f>
        <v>46050</v>
      </c>
    </row>
    <row r="4" spans="1:16" ht="15.75" customHeight="1">
      <c r="A4" s="13" t="s">
        <v>10</v>
      </c>
      <c r="B4" s="13" t="s">
        <v>11</v>
      </c>
      <c r="C4" s="13" t="s">
        <v>12</v>
      </c>
      <c r="D4" s="13">
        <v>80</v>
      </c>
      <c r="E4" s="13">
        <v>15</v>
      </c>
      <c r="F4" s="13" t="s">
        <v>13</v>
      </c>
      <c r="G4" s="10">
        <f t="shared" ref="G4:G7" si="0">IF(ISBLANK(D4),MEDIAN($D$3:$D$36),D4)</f>
        <v>80</v>
      </c>
      <c r="H4" s="9" t="str">
        <f t="shared" ref="H4:H33" si="1">(IF(F4="",IF(B4="Backpack","Accessories",IF(B4="Sneakers","Fashion",IF(B4="Coffee Maker","Kitchen",""))),F4))</f>
        <v>Fashion</v>
      </c>
      <c r="I4" s="9" t="str">
        <f t="shared" ref="I4:I33" si="2">PROPER(B4)</f>
        <v>Sneakers</v>
      </c>
      <c r="J4" s="9" t="str">
        <f>LEFT(A4,6)</f>
        <v>15-FEB</v>
      </c>
      <c r="K4" s="11" t="str">
        <f t="shared" ref="K4:K33" si="3">RIGHT(A4,2)</f>
        <v>US</v>
      </c>
      <c r="L4" s="11" t="str">
        <f t="shared" ref="L4:L33" si="4">_xlfn.CONCAT(C4," ",B4)</f>
        <v>Nike Sneakers</v>
      </c>
      <c r="M4" s="12">
        <f t="shared" ref="M4:M33" si="5">DATEVALUE(LEFT(A4,6)&amp;"-2026")</f>
        <v>46068</v>
      </c>
      <c r="N4" s="2"/>
      <c r="O4" s="2"/>
      <c r="P4" s="2"/>
    </row>
    <row r="5" spans="1:16" ht="15.75" customHeight="1">
      <c r="A5" s="9" t="s">
        <v>14</v>
      </c>
      <c r="B5" s="9" t="s">
        <v>15</v>
      </c>
      <c r="C5" s="9" t="s">
        <v>16</v>
      </c>
      <c r="D5" s="9">
        <v>130</v>
      </c>
      <c r="E5" s="9">
        <v>40</v>
      </c>
      <c r="F5" s="9" t="s">
        <v>17</v>
      </c>
      <c r="G5" s="10">
        <f t="shared" si="0"/>
        <v>130</v>
      </c>
      <c r="H5" s="9" t="str">
        <f t="shared" si="1"/>
        <v>Kitchen</v>
      </c>
      <c r="I5" s="9" t="str">
        <f t="shared" si="2"/>
        <v>Coffee Maker</v>
      </c>
      <c r="J5" s="9" t="str">
        <f>LEFT(A5,6)</f>
        <v>03-MAR</v>
      </c>
      <c r="K5" s="11" t="str">
        <f t="shared" si="3"/>
        <v>US</v>
      </c>
      <c r="L5" s="11" t="str">
        <f t="shared" si="4"/>
        <v>Keurig Coffee Maker</v>
      </c>
      <c r="M5" s="12">
        <f t="shared" si="5"/>
        <v>46084</v>
      </c>
      <c r="N5" s="2"/>
      <c r="O5" s="2"/>
      <c r="P5" s="2"/>
    </row>
    <row r="6" spans="1:16" ht="15.75" customHeight="1">
      <c r="A6" s="13" t="s">
        <v>18</v>
      </c>
      <c r="B6" s="13" t="s">
        <v>19</v>
      </c>
      <c r="C6" s="13" t="s">
        <v>20</v>
      </c>
      <c r="D6" s="13">
        <v>900</v>
      </c>
      <c r="E6" s="13">
        <v>25</v>
      </c>
      <c r="F6" s="13" t="s">
        <v>9</v>
      </c>
      <c r="G6" s="10">
        <f t="shared" si="0"/>
        <v>900</v>
      </c>
      <c r="H6" s="9" t="str">
        <f t="shared" si="1"/>
        <v>Electronics</v>
      </c>
      <c r="I6" s="9" t="str">
        <f t="shared" si="2"/>
        <v>Smartphone</v>
      </c>
      <c r="J6" s="9" t="str">
        <f>LEFT(A6,6)</f>
        <v>11-APR</v>
      </c>
      <c r="K6" s="11" t="str">
        <f t="shared" si="3"/>
        <v>US</v>
      </c>
      <c r="L6" s="11" t="str">
        <f t="shared" si="4"/>
        <v>Samsung smartphone</v>
      </c>
      <c r="M6" s="12">
        <f t="shared" si="5"/>
        <v>46123</v>
      </c>
      <c r="N6" s="2"/>
      <c r="O6" s="2"/>
      <c r="P6" s="2"/>
    </row>
    <row r="7" spans="1:16" ht="15.75" customHeight="1">
      <c r="A7" s="9" t="s">
        <v>21</v>
      </c>
      <c r="B7" s="9" t="s">
        <v>22</v>
      </c>
      <c r="C7" s="9" t="s">
        <v>23</v>
      </c>
      <c r="D7" s="9">
        <v>70</v>
      </c>
      <c r="E7" s="9">
        <v>20</v>
      </c>
      <c r="F7" s="9"/>
      <c r="G7" s="10">
        <f t="shared" si="0"/>
        <v>70</v>
      </c>
      <c r="H7" s="9" t="str">
        <f t="shared" si="1"/>
        <v>Accessories</v>
      </c>
      <c r="I7" s="9" t="str">
        <f t="shared" si="2"/>
        <v>Backpack</v>
      </c>
      <c r="J7" s="9" t="str">
        <f>LEFT(A7,6)</f>
        <v>22-MAY</v>
      </c>
      <c r="K7" s="11" t="str">
        <f t="shared" si="3"/>
        <v>US</v>
      </c>
      <c r="L7" s="11" t="str">
        <f t="shared" si="4"/>
        <v>North Face Backpack</v>
      </c>
      <c r="M7" s="12">
        <f t="shared" si="5"/>
        <v>46164</v>
      </c>
    </row>
    <row r="8" spans="1:16" ht="15.75" customHeight="1">
      <c r="A8" s="13" t="s">
        <v>24</v>
      </c>
      <c r="B8" s="13" t="s">
        <v>25</v>
      </c>
      <c r="C8" s="13" t="s">
        <v>26</v>
      </c>
      <c r="D8" s="13"/>
      <c r="E8" s="13">
        <v>45</v>
      </c>
      <c r="F8" s="13" t="s">
        <v>9</v>
      </c>
      <c r="G8" s="10">
        <f>IF(ISBLANK(D5),MEDIAN($D$3:$D$36),D5)</f>
        <v>130</v>
      </c>
      <c r="H8" s="9" t="str">
        <f t="shared" si="1"/>
        <v>Electronics</v>
      </c>
      <c r="I8" s="9" t="str">
        <f t="shared" si="2"/>
        <v>Headphones</v>
      </c>
      <c r="J8" s="9" t="str">
        <f>LEFT(A8,6)</f>
        <v>07-JUN</v>
      </c>
      <c r="K8" s="11" t="str">
        <f t="shared" si="3"/>
        <v>UK</v>
      </c>
      <c r="L8" s="11" t="str">
        <f t="shared" si="4"/>
        <v>Sony Headphones</v>
      </c>
      <c r="M8" s="12">
        <f t="shared" si="5"/>
        <v>46180</v>
      </c>
    </row>
    <row r="9" spans="1:16" ht="15.75" customHeight="1">
      <c r="A9" s="9" t="s">
        <v>28</v>
      </c>
      <c r="B9" s="9" t="s">
        <v>29</v>
      </c>
      <c r="C9" s="9" t="s">
        <v>30</v>
      </c>
      <c r="D9" s="9">
        <v>30</v>
      </c>
      <c r="E9" s="9">
        <v>5</v>
      </c>
      <c r="F9" s="9" t="s">
        <v>13</v>
      </c>
      <c r="G9" s="10">
        <f>IF(ISBLANK(D6),MEDIAN($D$3:$D$36),D6)</f>
        <v>900</v>
      </c>
      <c r="H9" s="9" t="str">
        <f t="shared" si="1"/>
        <v>Fashion</v>
      </c>
      <c r="I9" s="9" t="str">
        <f t="shared" si="2"/>
        <v>T-Shirt</v>
      </c>
      <c r="J9" s="9" t="str">
        <f>LEFT(A9,6)</f>
        <v>19-JUL</v>
      </c>
      <c r="K9" s="11" t="str">
        <f t="shared" si="3"/>
        <v>UK</v>
      </c>
      <c r="L9" s="11" t="str">
        <f t="shared" si="4"/>
        <v>Adidas T-shirt</v>
      </c>
      <c r="M9" s="12">
        <f t="shared" si="5"/>
        <v>46222</v>
      </c>
    </row>
    <row r="10" spans="1:16" ht="15.75" customHeight="1">
      <c r="A10" s="13" t="s">
        <v>31</v>
      </c>
      <c r="B10" s="13" t="s">
        <v>32</v>
      </c>
      <c r="C10" s="13" t="s">
        <v>33</v>
      </c>
      <c r="D10" s="13">
        <v>90</v>
      </c>
      <c r="E10" s="13">
        <v>35</v>
      </c>
      <c r="F10" s="13" t="s">
        <v>17</v>
      </c>
      <c r="G10" s="10">
        <f>IF(ISBLANK(D7),MEDIAN($D$3:$D$36),D7)</f>
        <v>70</v>
      </c>
      <c r="H10" s="9" t="str">
        <f t="shared" si="1"/>
        <v>Kitchen</v>
      </c>
      <c r="I10" s="9" t="str">
        <f t="shared" si="2"/>
        <v>Blender</v>
      </c>
      <c r="J10" s="9" t="str">
        <f>LEFT(A10,6)</f>
        <v>23-AUG</v>
      </c>
      <c r="K10" s="11" t="str">
        <f t="shared" si="3"/>
        <v>UK</v>
      </c>
      <c r="L10" s="11" t="str">
        <f t="shared" si="4"/>
        <v>Ninja Blender</v>
      </c>
      <c r="M10" s="12">
        <f t="shared" si="5"/>
        <v>46257</v>
      </c>
    </row>
    <row r="11" spans="1:16" ht="15.75" customHeight="1">
      <c r="A11" s="9" t="s">
        <v>34</v>
      </c>
      <c r="B11" s="9" t="s">
        <v>35</v>
      </c>
      <c r="C11" s="9" t="s">
        <v>36</v>
      </c>
      <c r="D11" s="9">
        <v>500</v>
      </c>
      <c r="E11" s="9">
        <v>50</v>
      </c>
      <c r="F11" s="9" t="s">
        <v>9</v>
      </c>
      <c r="G11" s="10">
        <f>IF(ISBLANK(D8),MEDIAN($D$3:$D$36),D8)</f>
        <v>130</v>
      </c>
      <c r="H11" s="9" t="str">
        <f t="shared" si="1"/>
        <v>Electronics</v>
      </c>
      <c r="I11" s="9" t="str">
        <f t="shared" si="2"/>
        <v>Tablet</v>
      </c>
      <c r="J11" s="9" t="str">
        <f>LEFT(A11,6)</f>
        <v>05-SEP</v>
      </c>
      <c r="K11" s="11" t="str">
        <f t="shared" si="3"/>
        <v>UK</v>
      </c>
      <c r="L11" s="11" t="str">
        <f t="shared" si="4"/>
        <v>Apple Tablet</v>
      </c>
      <c r="M11" s="12">
        <f t="shared" si="5"/>
        <v>46270</v>
      </c>
    </row>
    <row r="12" spans="1:16" ht="15.75" customHeight="1">
      <c r="A12" s="13" t="s">
        <v>37</v>
      </c>
      <c r="B12" s="13" t="s">
        <v>38</v>
      </c>
      <c r="C12" s="13" t="s">
        <v>39</v>
      </c>
      <c r="D12" s="13">
        <v>130</v>
      </c>
      <c r="E12" s="13">
        <v>10</v>
      </c>
      <c r="F12" s="13" t="s">
        <v>40</v>
      </c>
      <c r="G12" s="10">
        <f>IF(ISBLANK(D9),MEDIAN($D$3:$D$36),D9)</f>
        <v>30</v>
      </c>
      <c r="H12" s="9" t="str">
        <f t="shared" si="1"/>
        <v>Outdoor</v>
      </c>
      <c r="I12" s="9" t="str">
        <f t="shared" si="2"/>
        <v>Hiking Boots</v>
      </c>
      <c r="J12" s="9" t="str">
        <f>LEFT(A12,6)</f>
        <v>14-OCT</v>
      </c>
      <c r="K12" s="11" t="str">
        <f t="shared" si="3"/>
        <v>UK</v>
      </c>
      <c r="L12" s="11" t="str">
        <f t="shared" si="4"/>
        <v>Timberland Hiking Boots</v>
      </c>
      <c r="M12" s="12">
        <f t="shared" si="5"/>
        <v>46309</v>
      </c>
    </row>
    <row r="13" spans="1:16" ht="15.75" customHeight="1">
      <c r="A13" s="9" t="s">
        <v>41</v>
      </c>
      <c r="B13" s="9" t="s">
        <v>42</v>
      </c>
      <c r="C13" s="9" t="s">
        <v>43</v>
      </c>
      <c r="D13" s="9">
        <v>950</v>
      </c>
      <c r="E13" s="9">
        <v>25</v>
      </c>
      <c r="F13" s="9" t="s">
        <v>9</v>
      </c>
      <c r="G13" s="10">
        <f>IF(ISBLANK(D10),MEDIAN($D$3:$D$36),D10)</f>
        <v>90</v>
      </c>
      <c r="H13" s="9" t="str">
        <f t="shared" si="1"/>
        <v>Electronics</v>
      </c>
      <c r="I13" s="9" t="str">
        <f t="shared" si="2"/>
        <v>Laptop</v>
      </c>
      <c r="J13" s="9" t="str">
        <f>LEFT(A13,6)</f>
        <v>17-JUN</v>
      </c>
      <c r="K13" s="11" t="str">
        <f t="shared" si="3"/>
        <v>IN</v>
      </c>
      <c r="L13" s="11" t="str">
        <f t="shared" si="4"/>
        <v>HP Laptop</v>
      </c>
      <c r="M13" s="12">
        <f t="shared" si="5"/>
        <v>46190</v>
      </c>
    </row>
    <row r="14" spans="1:16" ht="15.75" customHeight="1">
      <c r="A14" s="13" t="s">
        <v>44</v>
      </c>
      <c r="B14" s="13" t="s">
        <v>11</v>
      </c>
      <c r="C14" s="13" t="s">
        <v>30</v>
      </c>
      <c r="D14" s="13">
        <v>90</v>
      </c>
      <c r="E14" s="13">
        <v>40</v>
      </c>
      <c r="F14" s="13"/>
      <c r="G14" s="10">
        <f>IF(ISBLANK(D11),MEDIAN($D$3:$D$36),D11)</f>
        <v>500</v>
      </c>
      <c r="H14" s="9" t="str">
        <f t="shared" si="1"/>
        <v>Fashion</v>
      </c>
      <c r="I14" s="9" t="str">
        <f t="shared" si="2"/>
        <v>Sneakers</v>
      </c>
      <c r="J14" s="9" t="str">
        <f>LEFT(A14,6)</f>
        <v>25-NOV</v>
      </c>
      <c r="K14" s="11" t="str">
        <f t="shared" si="3"/>
        <v>AU</v>
      </c>
      <c r="L14" s="11" t="str">
        <f t="shared" si="4"/>
        <v>Adidas Sneakers</v>
      </c>
      <c r="M14" s="12">
        <f t="shared" si="5"/>
        <v>46351</v>
      </c>
    </row>
    <row r="15" spans="1:16" ht="15.75" customHeight="1">
      <c r="A15" s="9" t="s">
        <v>45</v>
      </c>
      <c r="B15" s="9" t="s">
        <v>15</v>
      </c>
      <c r="C15" s="9" t="s">
        <v>46</v>
      </c>
      <c r="D15" s="9">
        <v>120</v>
      </c>
      <c r="E15" s="9">
        <v>35</v>
      </c>
      <c r="F15" s="9"/>
      <c r="G15" s="10">
        <f>IF(ISBLANK(D12),MEDIAN($D$3:$D$36),D12)</f>
        <v>130</v>
      </c>
      <c r="H15" s="9" t="str">
        <f t="shared" si="1"/>
        <v>Kitchen</v>
      </c>
      <c r="I15" s="9" t="str">
        <f t="shared" si="2"/>
        <v>Coffee Maker</v>
      </c>
      <c r="J15" s="9" t="str">
        <f>LEFT(A15,6)</f>
        <v>08-DEC</v>
      </c>
      <c r="K15" s="11" t="str">
        <f t="shared" si="3"/>
        <v>DE</v>
      </c>
      <c r="L15" s="11" t="str">
        <f t="shared" si="4"/>
        <v>Nespresso Coffee Maker</v>
      </c>
      <c r="M15" s="12">
        <f t="shared" si="5"/>
        <v>46364</v>
      </c>
    </row>
    <row r="16" spans="1:16" ht="15.75" customHeight="1">
      <c r="A16" s="13" t="s">
        <v>47</v>
      </c>
      <c r="B16" s="13" t="s">
        <v>48</v>
      </c>
      <c r="C16" s="13" t="s">
        <v>49</v>
      </c>
      <c r="D16" s="13">
        <v>150</v>
      </c>
      <c r="E16" s="13">
        <v>15</v>
      </c>
      <c r="F16" s="13" t="s">
        <v>9</v>
      </c>
      <c r="G16" s="10">
        <f>IF(ISBLANK(D13),MEDIAN($D$3:$D$36),D13)</f>
        <v>950</v>
      </c>
      <c r="H16" s="9" t="str">
        <f t="shared" si="1"/>
        <v>Electronics</v>
      </c>
      <c r="I16" s="9" t="str">
        <f t="shared" si="2"/>
        <v>Smartwatch</v>
      </c>
      <c r="J16" s="9" t="str">
        <f>LEFT(A16,6)</f>
        <v>18-FEB</v>
      </c>
      <c r="K16" s="11" t="str">
        <f t="shared" si="3"/>
        <v>CA</v>
      </c>
      <c r="L16" s="11" t="str">
        <f t="shared" si="4"/>
        <v>Fitbit Smartwatch</v>
      </c>
      <c r="M16" s="12">
        <f t="shared" si="5"/>
        <v>46071</v>
      </c>
    </row>
    <row r="17" spans="1:13" ht="15.75" customHeight="1">
      <c r="A17" s="9" t="s">
        <v>50</v>
      </c>
      <c r="B17" s="9" t="s">
        <v>51</v>
      </c>
      <c r="C17" s="9" t="s">
        <v>52</v>
      </c>
      <c r="D17" s="9">
        <v>250</v>
      </c>
      <c r="E17" s="9">
        <v>20</v>
      </c>
      <c r="F17" s="9" t="s">
        <v>9</v>
      </c>
      <c r="G17" s="10">
        <f>IF(ISBLANK(D14),MEDIAN($D$3:$D$36),D14)</f>
        <v>90</v>
      </c>
      <c r="H17" s="9" t="str">
        <f t="shared" si="1"/>
        <v>Electronics</v>
      </c>
      <c r="I17" s="9" t="str">
        <f t="shared" si="2"/>
        <v>Headphones</v>
      </c>
      <c r="J17" s="9" t="str">
        <f>LEFT(A17,6)</f>
        <v>16-APR</v>
      </c>
      <c r="K17" s="11" t="str">
        <f t="shared" si="3"/>
        <v>ES</v>
      </c>
      <c r="L17" s="11" t="str">
        <f t="shared" si="4"/>
        <v>Bose headphones</v>
      </c>
      <c r="M17" s="12">
        <f t="shared" si="5"/>
        <v>46128</v>
      </c>
    </row>
    <row r="18" spans="1:13" ht="15.75" customHeight="1">
      <c r="A18" s="13" t="s">
        <v>53</v>
      </c>
      <c r="B18" s="13" t="s">
        <v>54</v>
      </c>
      <c r="C18" s="13" t="s">
        <v>55</v>
      </c>
      <c r="D18" s="13">
        <v>50</v>
      </c>
      <c r="E18" s="13">
        <v>35</v>
      </c>
      <c r="F18" s="13" t="s">
        <v>56</v>
      </c>
      <c r="G18" s="10">
        <f>IF(ISBLANK(D15),MEDIAN($D$3:$D$36),D15)</f>
        <v>120</v>
      </c>
      <c r="H18" s="9" t="str">
        <f t="shared" si="1"/>
        <v>Accessories</v>
      </c>
      <c r="I18" s="9" t="str">
        <f t="shared" si="2"/>
        <v>Laptop Bag</v>
      </c>
      <c r="J18" s="9" t="str">
        <f>LEFT(A18,6)</f>
        <v>21-AUG</v>
      </c>
      <c r="K18" s="11" t="str">
        <f t="shared" si="3"/>
        <v>CA</v>
      </c>
      <c r="L18" s="11" t="str">
        <f t="shared" si="4"/>
        <v>Samsonite Laptop Bag</v>
      </c>
      <c r="M18" s="12">
        <f t="shared" si="5"/>
        <v>46255</v>
      </c>
    </row>
    <row r="19" spans="1:13" ht="15.75" customHeight="1">
      <c r="A19" s="9" t="s">
        <v>57</v>
      </c>
      <c r="B19" s="9" t="s">
        <v>48</v>
      </c>
      <c r="C19" s="9" t="s">
        <v>58</v>
      </c>
      <c r="D19" s="9">
        <v>160</v>
      </c>
      <c r="E19" s="9">
        <v>15</v>
      </c>
      <c r="F19" s="9" t="s">
        <v>9</v>
      </c>
      <c r="G19" s="10">
        <f>IF(ISBLANK(D16),MEDIAN($D$3:$D$36),D16)</f>
        <v>150</v>
      </c>
      <c r="H19" s="9" t="str">
        <f t="shared" si="1"/>
        <v>Electronics</v>
      </c>
      <c r="I19" s="9" t="str">
        <f t="shared" si="2"/>
        <v>Smartwatch</v>
      </c>
      <c r="J19" s="9" t="str">
        <f>LEFT(A19,6)</f>
        <v>20-AUG</v>
      </c>
      <c r="K19" s="11" t="str">
        <f t="shared" si="3"/>
        <v>CN</v>
      </c>
      <c r="L19" s="11" t="str">
        <f t="shared" si="4"/>
        <v>Huawei Smartwatch</v>
      </c>
      <c r="M19" s="12">
        <f t="shared" si="5"/>
        <v>46254</v>
      </c>
    </row>
    <row r="20" spans="1:13" ht="15.75" customHeight="1">
      <c r="A20" s="13" t="s">
        <v>59</v>
      </c>
      <c r="B20" s="13" t="s">
        <v>7</v>
      </c>
      <c r="C20" s="13" t="s">
        <v>60</v>
      </c>
      <c r="D20" s="13">
        <v>980</v>
      </c>
      <c r="E20" s="13">
        <v>10</v>
      </c>
      <c r="F20" s="13" t="s">
        <v>9</v>
      </c>
      <c r="G20" s="10">
        <f>IF(ISBLANK(D17),MEDIAN($D$3:$D$36),D17)</f>
        <v>250</v>
      </c>
      <c r="H20" s="9" t="str">
        <f t="shared" si="1"/>
        <v>Electronics</v>
      </c>
      <c r="I20" s="9" t="str">
        <f t="shared" si="2"/>
        <v>Laptop</v>
      </c>
      <c r="J20" s="9" t="str">
        <f>LEFT(A20,6)</f>
        <v>27-JAN</v>
      </c>
      <c r="K20" s="11" t="str">
        <f t="shared" si="3"/>
        <v>IT</v>
      </c>
      <c r="L20" s="11" t="str">
        <f t="shared" si="4"/>
        <v>Asus laptop</v>
      </c>
      <c r="M20" s="12">
        <f t="shared" si="5"/>
        <v>46049</v>
      </c>
    </row>
    <row r="21" spans="1:13" ht="15.75" customHeight="1">
      <c r="A21" s="9" t="s">
        <v>61</v>
      </c>
      <c r="B21" s="9" t="s">
        <v>62</v>
      </c>
      <c r="C21" s="9" t="s">
        <v>63</v>
      </c>
      <c r="D21" s="9">
        <v>150</v>
      </c>
      <c r="E21" s="9">
        <v>15</v>
      </c>
      <c r="F21" s="9" t="s">
        <v>13</v>
      </c>
      <c r="G21" s="10">
        <f>IF(ISBLANK(D18),MEDIAN($D$3:$D$36),D18)</f>
        <v>50</v>
      </c>
      <c r="H21" s="9" t="str">
        <f t="shared" si="1"/>
        <v>Fashion</v>
      </c>
      <c r="I21" s="9" t="str">
        <f t="shared" si="2"/>
        <v>Sunglasses</v>
      </c>
      <c r="J21" s="9" t="str">
        <f>LEFT(A21,6)</f>
        <v>01-MAR</v>
      </c>
      <c r="K21" s="11" t="str">
        <f t="shared" si="3"/>
        <v>UK</v>
      </c>
      <c r="L21" s="11" t="str">
        <f t="shared" si="4"/>
        <v>Oakley Sunglasses</v>
      </c>
      <c r="M21" s="12">
        <f t="shared" si="5"/>
        <v>46082</v>
      </c>
    </row>
    <row r="22" spans="1:13" ht="15.75" customHeight="1">
      <c r="A22" s="13" t="s">
        <v>64</v>
      </c>
      <c r="B22" s="13" t="s">
        <v>65</v>
      </c>
      <c r="C22" s="13" t="s">
        <v>66</v>
      </c>
      <c r="D22" s="13"/>
      <c r="E22" s="13">
        <v>10</v>
      </c>
      <c r="F22" s="13" t="s">
        <v>40</v>
      </c>
      <c r="G22" s="10">
        <f>IF(ISBLANK(D19),MEDIAN($D$3:$D$36),D19)</f>
        <v>160</v>
      </c>
      <c r="H22" s="9" t="str">
        <f t="shared" si="1"/>
        <v>Outdoor</v>
      </c>
      <c r="I22" s="9" t="str">
        <f t="shared" si="2"/>
        <v>Camping Tent</v>
      </c>
      <c r="J22" s="9" t="str">
        <f>LEFT(A22,6)</f>
        <v>14-AUG</v>
      </c>
      <c r="K22" s="11" t="str">
        <f t="shared" si="3"/>
        <v>US</v>
      </c>
      <c r="L22" s="11" t="str">
        <f t="shared" si="4"/>
        <v>Coleman Camping Tent</v>
      </c>
      <c r="M22" s="12">
        <f t="shared" si="5"/>
        <v>46248</v>
      </c>
    </row>
    <row r="23" spans="1:13" ht="15.75" customHeight="1">
      <c r="A23" s="9" t="s">
        <v>67</v>
      </c>
      <c r="B23" s="9" t="s">
        <v>68</v>
      </c>
      <c r="C23" s="9" t="s">
        <v>69</v>
      </c>
      <c r="D23" s="9">
        <v>700</v>
      </c>
      <c r="E23" s="9">
        <v>50</v>
      </c>
      <c r="F23" s="9" t="s">
        <v>9</v>
      </c>
      <c r="G23" s="10">
        <f>IF(ISBLANK(D20),MEDIAN($D$3:$D$36),D20)</f>
        <v>980</v>
      </c>
      <c r="H23" s="9" t="str">
        <f t="shared" si="1"/>
        <v>Electronics</v>
      </c>
      <c r="I23" s="9" t="str">
        <f t="shared" si="2"/>
        <v>Camera</v>
      </c>
      <c r="J23" s="9" t="str">
        <f>LEFT(A23,6)</f>
        <v>14-MAY</v>
      </c>
      <c r="K23" s="11" t="str">
        <f t="shared" si="3"/>
        <v>RU</v>
      </c>
      <c r="L23" s="11" t="str">
        <f t="shared" si="4"/>
        <v>Nikon Camera</v>
      </c>
      <c r="M23" s="12">
        <f t="shared" si="5"/>
        <v>46156</v>
      </c>
    </row>
    <row r="24" spans="1:13" ht="15.75" customHeight="1">
      <c r="A24" s="13" t="s">
        <v>70</v>
      </c>
      <c r="B24" s="13" t="s">
        <v>71</v>
      </c>
      <c r="C24" s="13" t="s">
        <v>72</v>
      </c>
      <c r="D24" s="13">
        <v>80</v>
      </c>
      <c r="E24" s="13">
        <v>20</v>
      </c>
      <c r="F24" s="13" t="s">
        <v>17</v>
      </c>
      <c r="G24" s="10">
        <f>IF(ISBLANK(D21),MEDIAN($D$3:$D$36),D21)</f>
        <v>150</v>
      </c>
      <c r="H24" s="9" t="str">
        <f t="shared" si="1"/>
        <v>Kitchen</v>
      </c>
      <c r="I24" s="9" t="str">
        <f t="shared" si="2"/>
        <v>Microwave</v>
      </c>
      <c r="J24" s="9" t="str">
        <f>LEFT(A24,6)</f>
        <v>09-JAN</v>
      </c>
      <c r="K24" s="11" t="str">
        <f t="shared" si="3"/>
        <v>CA</v>
      </c>
      <c r="L24" s="11" t="str">
        <f t="shared" si="4"/>
        <v>Panasonic Microwave</v>
      </c>
      <c r="M24" s="12">
        <f t="shared" si="5"/>
        <v>46031</v>
      </c>
    </row>
    <row r="25" spans="1:13" ht="15.75" customHeight="1">
      <c r="A25" s="9" t="s">
        <v>73</v>
      </c>
      <c r="B25" s="9" t="s">
        <v>74</v>
      </c>
      <c r="C25" s="9" t="s">
        <v>75</v>
      </c>
      <c r="D25" s="9">
        <v>150</v>
      </c>
      <c r="E25" s="9">
        <v>30</v>
      </c>
      <c r="F25" s="9"/>
      <c r="G25" s="10">
        <f>IF(ISBLANK(D22),MEDIAN($D$3:$D$36),D22)</f>
        <v>130</v>
      </c>
      <c r="H25" s="9" t="s">
        <v>9</v>
      </c>
      <c r="I25" s="9" t="str">
        <f t="shared" si="2"/>
        <v>Fitness Tracker</v>
      </c>
      <c r="J25" s="9" t="str">
        <f>LEFT(A25,6)</f>
        <v>19-JUL</v>
      </c>
      <c r="K25" s="11" t="str">
        <f t="shared" si="3"/>
        <v>BR</v>
      </c>
      <c r="L25" s="11" t="str">
        <f t="shared" si="4"/>
        <v>Xiaomi Fitness Tracker</v>
      </c>
      <c r="M25" s="12">
        <f t="shared" si="5"/>
        <v>46222</v>
      </c>
    </row>
    <row r="26" spans="1:13" ht="15.75" customHeight="1">
      <c r="A26" s="9" t="s">
        <v>76</v>
      </c>
      <c r="B26" s="9" t="s">
        <v>77</v>
      </c>
      <c r="C26" s="9" t="s">
        <v>78</v>
      </c>
      <c r="D26" s="9">
        <v>800</v>
      </c>
      <c r="E26" s="9">
        <v>45</v>
      </c>
      <c r="F26" s="9" t="s">
        <v>9</v>
      </c>
      <c r="G26" s="10">
        <f>IF(ISBLANK(D23),MEDIAN($D$3:$D$36),D23)</f>
        <v>700</v>
      </c>
      <c r="H26" s="9" t="str">
        <f t="shared" si="1"/>
        <v>Electronics</v>
      </c>
      <c r="I26" s="9" t="str">
        <f t="shared" si="2"/>
        <v>Smartphone</v>
      </c>
      <c r="J26" s="9" t="str">
        <f>LEFT(A26,6)</f>
        <v>29-SEP</v>
      </c>
      <c r="K26" s="11" t="str">
        <f t="shared" si="3"/>
        <v>CA</v>
      </c>
      <c r="L26" s="11" t="str">
        <f t="shared" si="4"/>
        <v>Google Smartphone</v>
      </c>
      <c r="M26" s="12">
        <f t="shared" si="5"/>
        <v>46294</v>
      </c>
    </row>
    <row r="27" spans="1:13" ht="15.75" customHeight="1">
      <c r="A27" s="13" t="s">
        <v>79</v>
      </c>
      <c r="B27" s="13" t="s">
        <v>62</v>
      </c>
      <c r="C27" s="13" t="s">
        <v>80</v>
      </c>
      <c r="D27" s="13"/>
      <c r="E27" s="13">
        <v>25</v>
      </c>
      <c r="F27" s="13" t="s">
        <v>13</v>
      </c>
      <c r="G27" s="10">
        <f>IF(ISBLANK(D24),MEDIAN($D$3:$D$36),D24)</f>
        <v>80</v>
      </c>
      <c r="H27" s="9" t="str">
        <f t="shared" si="1"/>
        <v>Fashion</v>
      </c>
      <c r="I27" s="9" t="str">
        <f t="shared" si="2"/>
        <v>Sunglasses</v>
      </c>
      <c r="J27" s="9" t="str">
        <f>LEFT(A27,6)</f>
        <v>03-JUN</v>
      </c>
      <c r="K27" s="11" t="str">
        <f t="shared" si="3"/>
        <v>CA</v>
      </c>
      <c r="L27" s="11" t="str">
        <f t="shared" si="4"/>
        <v>Ray-Ban Sunglasses</v>
      </c>
      <c r="M27" s="12">
        <f t="shared" si="5"/>
        <v>46176</v>
      </c>
    </row>
    <row r="28" spans="1:13" ht="15.75" customHeight="1">
      <c r="A28" s="9" t="s">
        <v>81</v>
      </c>
      <c r="B28" s="9" t="s">
        <v>32</v>
      </c>
      <c r="C28" s="9" t="s">
        <v>82</v>
      </c>
      <c r="D28" s="9">
        <v>400</v>
      </c>
      <c r="E28" s="9">
        <v>40</v>
      </c>
      <c r="F28" s="9" t="s">
        <v>17</v>
      </c>
      <c r="G28" s="10">
        <f>IF(ISBLANK(D25),MEDIAN($D$3:$D$36),D25)</f>
        <v>150</v>
      </c>
      <c r="H28" s="9" t="str">
        <f t="shared" si="1"/>
        <v>Kitchen</v>
      </c>
      <c r="I28" s="9" t="str">
        <f t="shared" si="2"/>
        <v>Blender</v>
      </c>
      <c r="J28" s="9" t="str">
        <f>LEFT(A28,6)</f>
        <v>11-JUL</v>
      </c>
      <c r="K28" s="11" t="str">
        <f t="shared" si="3"/>
        <v>CA</v>
      </c>
      <c r="L28" s="11" t="str">
        <f t="shared" si="4"/>
        <v>Vitamix Blender</v>
      </c>
      <c r="M28" s="12">
        <f t="shared" si="5"/>
        <v>46214</v>
      </c>
    </row>
    <row r="29" spans="1:13" ht="15.75" customHeight="1">
      <c r="A29" s="9" t="s">
        <v>83</v>
      </c>
      <c r="B29" s="9" t="s">
        <v>84</v>
      </c>
      <c r="C29" s="9" t="s">
        <v>85</v>
      </c>
      <c r="D29" s="9">
        <v>60</v>
      </c>
      <c r="E29" s="9">
        <v>30</v>
      </c>
      <c r="F29" s="9" t="s">
        <v>13</v>
      </c>
      <c r="G29" s="10">
        <f>IF(ISBLANK(D26),MEDIAN($D$3:$D$36),D26)</f>
        <v>800</v>
      </c>
      <c r="H29" s="9" t="str">
        <f t="shared" si="1"/>
        <v>Fashion</v>
      </c>
      <c r="I29" s="9" t="str">
        <f t="shared" si="2"/>
        <v>Dress</v>
      </c>
      <c r="J29" s="9" t="str">
        <f>LEFT(A29,6)</f>
        <v>07-MAR</v>
      </c>
      <c r="K29" s="11" t="str">
        <f t="shared" si="3"/>
        <v>CA</v>
      </c>
      <c r="L29" s="11" t="str">
        <f t="shared" si="4"/>
        <v>Zara Dress</v>
      </c>
      <c r="M29" s="12">
        <f t="shared" si="5"/>
        <v>46088</v>
      </c>
    </row>
    <row r="30" spans="1:13" ht="15.75" customHeight="1">
      <c r="A30" s="13" t="s">
        <v>86</v>
      </c>
      <c r="B30" s="13" t="s">
        <v>87</v>
      </c>
      <c r="C30" s="13" t="s">
        <v>88</v>
      </c>
      <c r="D30" s="13">
        <v>40</v>
      </c>
      <c r="E30" s="13">
        <v>10</v>
      </c>
      <c r="F30" s="13" t="s">
        <v>17</v>
      </c>
      <c r="G30" s="10">
        <f>IF(ISBLANK(D27),MEDIAN($D$3:$D$36),D27)</f>
        <v>130</v>
      </c>
      <c r="H30" s="9" t="str">
        <f t="shared" si="1"/>
        <v>Kitchen</v>
      </c>
      <c r="I30" s="9" t="str">
        <f t="shared" si="2"/>
        <v>Toaster</v>
      </c>
      <c r="J30" s="9" t="str">
        <f>LEFT(A30,6)</f>
        <v>13-APR</v>
      </c>
      <c r="K30" s="11" t="str">
        <f t="shared" si="3"/>
        <v>CA</v>
      </c>
      <c r="L30" s="11" t="str">
        <f t="shared" si="4"/>
        <v>Hamilton Toaster</v>
      </c>
      <c r="M30" s="12">
        <f t="shared" si="5"/>
        <v>46125</v>
      </c>
    </row>
    <row r="31" spans="1:13" ht="15.75" customHeight="1">
      <c r="A31" s="9" t="s">
        <v>89</v>
      </c>
      <c r="B31" s="9" t="s">
        <v>74</v>
      </c>
      <c r="C31" s="9" t="s">
        <v>90</v>
      </c>
      <c r="D31" s="9">
        <v>130</v>
      </c>
      <c r="E31" s="9">
        <v>5</v>
      </c>
      <c r="F31" s="9" t="s">
        <v>9</v>
      </c>
      <c r="G31" s="10">
        <f>IF(ISBLANK(D28),MEDIAN($D$3:$D$36),D28)</f>
        <v>400</v>
      </c>
      <c r="H31" s="9" t="str">
        <f t="shared" si="1"/>
        <v>Electronics</v>
      </c>
      <c r="I31" s="9" t="str">
        <f t="shared" si="2"/>
        <v>Fitness Tracker</v>
      </c>
      <c r="J31" s="9" t="str">
        <f>LEFT(A31,6)</f>
        <v>24-MAY</v>
      </c>
      <c r="K31" s="11" t="str">
        <f t="shared" si="3"/>
        <v>CA</v>
      </c>
      <c r="L31" s="11" t="str">
        <f t="shared" si="4"/>
        <v>Garmin Fitness Tracker</v>
      </c>
      <c r="M31" s="12">
        <f t="shared" si="5"/>
        <v>46166</v>
      </c>
    </row>
    <row r="32" spans="1:13" ht="15.75" customHeight="1">
      <c r="A32" s="13" t="s">
        <v>91</v>
      </c>
      <c r="B32" s="13" t="s">
        <v>92</v>
      </c>
      <c r="C32" s="13" t="s">
        <v>93</v>
      </c>
      <c r="D32" s="13">
        <v>50</v>
      </c>
      <c r="E32" s="13">
        <v>50</v>
      </c>
      <c r="F32" s="13" t="s">
        <v>13</v>
      </c>
      <c r="G32" s="10">
        <f>IF(ISBLANK(D29),MEDIAN($D$3:$D$36),D29)</f>
        <v>60</v>
      </c>
      <c r="H32" s="9" t="str">
        <f t="shared" si="1"/>
        <v>Fashion</v>
      </c>
      <c r="I32" s="9" t="str">
        <f t="shared" si="2"/>
        <v>Jeans</v>
      </c>
      <c r="J32" s="9" t="str">
        <f>LEFT(A32,6)</f>
        <v>02-DEC</v>
      </c>
      <c r="K32" s="11" t="str">
        <f t="shared" si="3"/>
        <v>CA</v>
      </c>
      <c r="L32" s="11" t="str">
        <f t="shared" si="4"/>
        <v>Levi's Jeans</v>
      </c>
      <c r="M32" s="12">
        <f t="shared" si="5"/>
        <v>46358</v>
      </c>
    </row>
    <row r="33" spans="1:13" ht="15.75" customHeight="1">
      <c r="A33" s="13" t="s">
        <v>94</v>
      </c>
      <c r="B33" s="13" t="s">
        <v>95</v>
      </c>
      <c r="C33" s="13" t="s">
        <v>96</v>
      </c>
      <c r="D33" s="13">
        <v>100</v>
      </c>
      <c r="E33" s="13">
        <v>20</v>
      </c>
      <c r="F33" s="13" t="s">
        <v>56</v>
      </c>
      <c r="G33" s="10">
        <f>IF(ISBLANK(D30),MEDIAN($D$3:$D$36),D30)</f>
        <v>40</v>
      </c>
      <c r="H33" s="9" t="str">
        <f t="shared" si="1"/>
        <v>Accessories</v>
      </c>
      <c r="I33" s="9" t="str">
        <f t="shared" si="2"/>
        <v>Watch</v>
      </c>
      <c r="J33" s="9" t="str">
        <f>LEFT(A33,6)</f>
        <v>09-JUL</v>
      </c>
      <c r="K33" s="11" t="str">
        <f t="shared" si="3"/>
        <v>FR</v>
      </c>
      <c r="L33" s="11" t="str">
        <f t="shared" si="4"/>
        <v>Casio Watch</v>
      </c>
      <c r="M33" s="12">
        <f t="shared" si="5"/>
        <v>46212</v>
      </c>
    </row>
    <row r="34" spans="1:13" ht="15.75" customHeight="1">
      <c r="G34" s="6"/>
      <c r="H34" s="2"/>
      <c r="I34" s="2"/>
    </row>
    <row r="35" spans="1:13" ht="15.75" customHeight="1">
      <c r="G35" s="6"/>
      <c r="H35" s="2"/>
      <c r="I35" s="2"/>
    </row>
    <row r="36" spans="1:13" ht="15.75" customHeight="1">
      <c r="G36" s="6"/>
      <c r="H36" s="2"/>
      <c r="I36" s="2"/>
    </row>
    <row r="37" spans="1:13" ht="15.75" customHeight="1">
      <c r="H37" s="2"/>
    </row>
    <row r="38" spans="1:13" ht="15.75" customHeight="1"/>
    <row r="39" spans="1:13" ht="15.75" customHeight="1"/>
    <row r="40" spans="1:13" ht="15.75" customHeight="1"/>
    <row r="41" spans="1:13" ht="15.75" customHeight="1"/>
    <row r="42" spans="1:13" ht="15.75" customHeight="1"/>
    <row r="43" spans="1:13" ht="15.75" customHeight="1"/>
    <row r="44" spans="1:13" ht="15.75" customHeight="1"/>
    <row r="45" spans="1:13" ht="15.75" customHeight="1"/>
    <row r="46" spans="1:13" ht="15.75" customHeight="1"/>
    <row r="47" spans="1:13" ht="15.75" customHeight="1"/>
    <row r="48" spans="1:1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M1"/>
  </mergeCells>
  <conditionalFormatting sqref="G2:G104857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{B02F61D6-BDD1-453E-9650-3618D4D12856}</x14:id>
        </ext>
      </extLst>
    </cfRule>
  </conditionalFormatting>
  <conditionalFormatting sqref="H2:H1048576">
    <cfRule type="cellIs" dxfId="1" priority="1" operator="equal">
      <formula>"Electronics"</formula>
    </cfRule>
    <cfRule type="cellIs" dxfId="0" priority="2" operator="equal">
      <formula>"Electronics"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2F61D6-BDD1-453E-9650-3618D4D128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G2:G1048576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Dataset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kavin sreeram</cp:lastModifiedBy>
  <dcterms:created xsi:type="dcterms:W3CDTF">2026-07-23T14:43:37Z</dcterms:created>
  <dcterms:modified xsi:type="dcterms:W3CDTF">2026-07-30T10:19:04Z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