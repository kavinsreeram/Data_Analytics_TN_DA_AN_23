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ntri_DA\Data_Analytics_TN_DA_AN_23\Excel_Assignments\"/>
    </mc:Choice>
  </mc:AlternateContent>
  <xr:revisionPtr revIDLastSave="0" documentId="13_ncr:1_{2852EFD4-45ED-42B6-AF05-B3AF2D8514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set" sheetId="1" r:id="rId1"/>
    <sheet name="Cleaned Dataset" sheetId="2" r:id="rId2"/>
  </sheets>
  <definedNames>
    <definedName name="_xlnm._FilterDatabase" localSheetId="1" hidden="1">'Cleaned Dataset'!$A$1:$J$35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O7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O11" i="2"/>
  <c r="O10" i="2"/>
  <c r="O9" i="2"/>
  <c r="O8" i="2"/>
  <c r="O6" i="2"/>
  <c r="O5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<sst xmlns="http://schemas.openxmlformats.org/spreadsheetml/2006/main" count="295" uniqueCount="104">
  <si>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</si>
  <si>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</si>
  <si>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</si>
  <si>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</si>
  <si>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</si>
  <si>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</si>
  <si>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</si>
  <si>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</si>
  <si>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</si>
  <si>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</si>
  <si>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</si>
  <si>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</si>
  <si>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</si>
  <si>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</si>
  <si>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</si>
  <si>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</si>
  <si>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</si>
  <si>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</si>
  <si>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</si>
  <si>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</si>
  <si>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</si>
  <si>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</si>
  <si>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</si>
  <si>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</si>
  <si>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</si>
  <si>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</si>
  <si>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</si>
  <si>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</si>
  <si>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</si>
  <si>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</si>
  <si>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</si>
  <si>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</si>
  <si>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</si>
  <si>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</si>
  <si>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</si>
  <si>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</si>
  <si>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</si>
  <si>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</si>
  <si>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</si>
  <si>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</si>
  <si>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</si>
  <si>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</si>
  <si>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</si>
  <si>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</si>
  <si>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</si>
  <si>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</si>
  <si>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</si>
  <si>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</si>
  <si>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</si>
  <si>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</si>
  <si>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</si>
  <si>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</si>
  <si>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</si>
  <si>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</si>
  <si>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</si>
  <si>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</si>
  <si>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</si>
  <si>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</si>
  <si>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</si>
  <si>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</si>
  <si>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</si>
  <si>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</si>
  <si>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</si>
  <si>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</si>
  <si>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</si>
  <si>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</si>
  <si>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</si>
  <si>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</si>
  <si>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</si>
  <si>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</si>
  <si>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</si>
  <si>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</si>
  <si>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</si>
  <si>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</si>
  <si>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</si>
  <si>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</si>
  <si>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</si>
  <si>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</si>
  <si>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</si>
  <si>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</si>
  <si>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</si>
  <si>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</si>
  <si>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</si>
  <si>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</si>
  <si>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</si>
  <si>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</si>
  <si>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</si>
  <si>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</si>
  <si>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</si>
  <si>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</si>
  <si>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</si>
  <si>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</si>
  <si>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</si>
  <si>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</t>
  </si>
  <si>
    <t>Total price of all products :</t>
  </si>
  <si>
    <t>How many products exist in the dataset :</t>
  </si>
  <si>
    <t>Average price of the products :</t>
  </si>
  <si>
    <t>Minimum price :</t>
  </si>
  <si>
    <t>Maximum price :</t>
  </si>
  <si>
    <t>Total price of products in the Electronics category :</t>
  </si>
  <si>
    <t>Number of products with a price less than $100 :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</si>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</sst>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3" fillId="5" borderId="1" xfId="0" applyFont="1" applyFill="1" applyBorder="1"/>
    <xf numFmtId="0" fontId="3" fillId="7" borderId="1" xfId="0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G3" sqref="G3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3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3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>
      <c r="G36" s="3"/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9CD8-5DC9-4F86-90AC-E2FCAC73EF06}">
  <sheetPr>
    <outlinePr summaryBelow="0" summaryRight="0"/>
  </sheetPr>
  <dimension ref="A1:O1000"/>
  <sheetViews>
    <sheetView tabSelected="1" zoomScale="98" workbookViewId="0">
      <selection activeCell="I9" sqref="I9"/>
    </sheetView>
  </sheetViews>
  <sheetFormatPr defaultColWidth="12.6640625" defaultRowHeight="15" customHeight="1" x14ac:dyDescent="0.25"/>
  <cols>
    <col min="1" max="1" width="14.77734375" bestFit="1" customWidth="1"/>
    <col min="2" max="2" width="18" bestFit="1" customWidth="1"/>
    <col min="3" max="3" width="16.33203125" bestFit="1" customWidth="1"/>
    <col min="4" max="4" width="12.77734375" bestFit="1" customWidth="1"/>
    <col min="7" max="7" width="15.5546875" customWidth="1"/>
    <col min="9" max="9" width="17.77734375" bestFit="1" customWidth="1"/>
    <col min="14" max="14" width="21.5546875" customWidth="1"/>
  </cols>
  <sheetData>
    <row r="1" spans="1:15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93</v>
      </c>
      <c r="H1" s="5" t="s">
        <v>101</v>
      </c>
      <c r="I1" s="5" t="s">
        <v>102</v>
      </c>
      <c r="J1" s="5" t="s">
        <v>103</v>
      </c>
    </row>
    <row r="2" spans="1:15" ht="15.75" customHeight="1" x14ac:dyDescent="0.25">
      <c r="A2" s="6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7" t="str">
        <f>IF(D2 &gt;= 500,"High Price", "Standard Price")</f>
        <v>High Price</v>
      </c>
      <c r="H2" s="8" t="str">
        <f>LEFT(A2,2)</f>
        <v>28</v>
      </c>
      <c r="I2" s="8" t="str">
        <f>RIGHT(A2,2)</f>
        <v>US</v>
      </c>
      <c r="J2" s="8" t="str">
        <f>MID(A2,4,3)</f>
        <v>JAN</v>
      </c>
    </row>
    <row r="3" spans="1:15" ht="15.75" customHeight="1" x14ac:dyDescent="0.25">
      <c r="A3" s="6" t="s">
        <v>10</v>
      </c>
      <c r="B3" s="6" t="s">
        <v>11</v>
      </c>
      <c r="C3" s="6" t="s">
        <v>12</v>
      </c>
      <c r="D3" s="6">
        <v>80</v>
      </c>
      <c r="E3" s="6">
        <v>15</v>
      </c>
      <c r="F3" s="6" t="s">
        <v>13</v>
      </c>
      <c r="G3" s="7" t="str">
        <f t="shared" ref="G3:G35" si="0">IF(D3 &gt;= 500,"High Price", "Standard Price")</f>
        <v>Standard Price</v>
      </c>
      <c r="H3" s="8" t="str">
        <f t="shared" ref="H3:H35" si="1">LEFT(A3,2)</f>
        <v>15</v>
      </c>
      <c r="I3" s="8" t="str">
        <f t="shared" ref="I3:I35" si="2">RIGHT(A3,2)</f>
        <v>US</v>
      </c>
      <c r="J3" s="8" t="str">
        <f t="shared" ref="J3:J35" si="3">MID(A3,4,3)</f>
        <v>FEB</v>
      </c>
    </row>
    <row r="4" spans="1:15" ht="15.75" customHeight="1" x14ac:dyDescent="0.25">
      <c r="A4" s="6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7" t="str">
        <f t="shared" si="0"/>
        <v>Standard Price</v>
      </c>
      <c r="H4" s="8" t="str">
        <f t="shared" si="1"/>
        <v>03</v>
      </c>
      <c r="I4" s="8" t="str">
        <f t="shared" si="2"/>
        <v>US</v>
      </c>
      <c r="J4" s="8" t="str">
        <f t="shared" si="3"/>
        <v>MAR</v>
      </c>
    </row>
    <row r="5" spans="1:15" ht="15.75" customHeight="1" x14ac:dyDescent="0.25">
      <c r="A5" s="6" t="s">
        <v>18</v>
      </c>
      <c r="B5" s="6" t="s">
        <v>19</v>
      </c>
      <c r="C5" s="6" t="s">
        <v>20</v>
      </c>
      <c r="D5" s="6">
        <v>900</v>
      </c>
      <c r="E5" s="6">
        <v>25</v>
      </c>
      <c r="F5" s="6" t="s">
        <v>9</v>
      </c>
      <c r="G5" s="7" t="str">
        <f t="shared" si="0"/>
        <v>High Price</v>
      </c>
      <c r="H5" s="8" t="str">
        <f t="shared" si="1"/>
        <v>11</v>
      </c>
      <c r="I5" s="8" t="str">
        <f t="shared" si="2"/>
        <v>US</v>
      </c>
      <c r="J5" s="8" t="str">
        <f t="shared" si="3"/>
        <v>APR</v>
      </c>
      <c r="L5" s="11" t="s">
        <v>94</v>
      </c>
      <c r="M5" s="11"/>
      <c r="N5" s="11"/>
      <c r="O5" s="9">
        <f>SUM(D2:D35)</f>
        <v>10100</v>
      </c>
    </row>
    <row r="6" spans="1:15" ht="15.75" customHeight="1" x14ac:dyDescent="0.25">
      <c r="A6" s="6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7" t="str">
        <f t="shared" si="0"/>
        <v>Standard Price</v>
      </c>
      <c r="H6" s="8" t="str">
        <f t="shared" si="1"/>
        <v>22</v>
      </c>
      <c r="I6" s="8" t="str">
        <f t="shared" si="2"/>
        <v>US</v>
      </c>
      <c r="J6" s="8" t="str">
        <f t="shared" si="3"/>
        <v>MAY</v>
      </c>
      <c r="L6" s="11" t="s">
        <v>95</v>
      </c>
      <c r="M6" s="11"/>
      <c r="N6" s="11"/>
      <c r="O6" s="9">
        <f>COUNTA(A2:A35)</f>
        <v>34</v>
      </c>
    </row>
    <row r="7" spans="1:15" ht="15.75" customHeight="1" x14ac:dyDescent="0.25">
      <c r="A7" s="6" t="s">
        <v>25</v>
      </c>
      <c r="B7" s="6" t="s">
        <v>26</v>
      </c>
      <c r="C7" s="6" t="s">
        <v>27</v>
      </c>
      <c r="D7" s="6">
        <v>200</v>
      </c>
      <c r="E7" s="6">
        <v>45</v>
      </c>
      <c r="F7" s="6" t="s">
        <v>9</v>
      </c>
      <c r="G7" s="7" t="str">
        <f t="shared" si="0"/>
        <v>Standard Price</v>
      </c>
      <c r="H7" s="8" t="str">
        <f t="shared" si="1"/>
        <v>07</v>
      </c>
      <c r="I7" s="8" t="str">
        <f t="shared" si="2"/>
        <v>UK</v>
      </c>
      <c r="J7" s="8" t="str">
        <f t="shared" si="3"/>
        <v>JUN</v>
      </c>
      <c r="L7" s="11" t="s">
        <v>96</v>
      </c>
      <c r="M7" s="11"/>
      <c r="N7" s="11"/>
      <c r="O7" s="9">
        <f>ROUND(AVERAGE(D2:D35),2)</f>
        <v>297.06</v>
      </c>
    </row>
    <row r="8" spans="1:15" ht="15.75" customHeight="1" x14ac:dyDescent="0.25">
      <c r="A8" s="6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7" t="str">
        <f t="shared" si="0"/>
        <v>Standard Price</v>
      </c>
      <c r="H8" s="8" t="str">
        <f t="shared" si="1"/>
        <v>19</v>
      </c>
      <c r="I8" s="8" t="str">
        <f t="shared" si="2"/>
        <v>UK</v>
      </c>
      <c r="J8" s="8" t="str">
        <f t="shared" si="3"/>
        <v>JUL</v>
      </c>
      <c r="L8" s="11" t="s">
        <v>97</v>
      </c>
      <c r="M8" s="11"/>
      <c r="N8" s="11"/>
      <c r="O8" s="9">
        <f>MIN(D2:D35)</f>
        <v>30</v>
      </c>
    </row>
    <row r="9" spans="1:15" ht="15.75" customHeight="1" x14ac:dyDescent="0.25">
      <c r="A9" s="6" t="s">
        <v>31</v>
      </c>
      <c r="B9" s="6" t="s">
        <v>32</v>
      </c>
      <c r="C9" s="6" t="s">
        <v>33</v>
      </c>
      <c r="D9" s="6">
        <v>90</v>
      </c>
      <c r="E9" s="6">
        <v>35</v>
      </c>
      <c r="F9" s="6" t="s">
        <v>17</v>
      </c>
      <c r="G9" s="7" t="str">
        <f t="shared" si="0"/>
        <v>Standard Price</v>
      </c>
      <c r="H9" s="8" t="str">
        <f t="shared" si="1"/>
        <v>23</v>
      </c>
      <c r="I9" s="8" t="str">
        <f t="shared" si="2"/>
        <v>UK</v>
      </c>
      <c r="J9" s="8" t="str">
        <f t="shared" si="3"/>
        <v>AUG</v>
      </c>
      <c r="L9" s="11" t="s">
        <v>98</v>
      </c>
      <c r="M9" s="11"/>
      <c r="N9" s="11"/>
      <c r="O9" s="9">
        <f>MAX(D2:D36)</f>
        <v>1000</v>
      </c>
    </row>
    <row r="10" spans="1:15" ht="16.2" customHeight="1" x14ac:dyDescent="0.25">
      <c r="A10" s="6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7" t="str">
        <f t="shared" si="0"/>
        <v>High Price</v>
      </c>
      <c r="H10" s="8" t="str">
        <f t="shared" si="1"/>
        <v>05</v>
      </c>
      <c r="I10" s="8" t="str">
        <f t="shared" si="2"/>
        <v>UK</v>
      </c>
      <c r="J10" s="8" t="str">
        <f t="shared" si="3"/>
        <v>SEP</v>
      </c>
      <c r="L10" s="10" t="s">
        <v>99</v>
      </c>
      <c r="M10" s="10"/>
      <c r="N10" s="10"/>
      <c r="O10" s="9">
        <f>SUMIF(F2:F35,"Electronics",D2:D35)</f>
        <v>8050</v>
      </c>
    </row>
    <row r="11" spans="1:15" ht="16.8" customHeight="1" x14ac:dyDescent="0.25">
      <c r="A11" s="6" t="s">
        <v>37</v>
      </c>
      <c r="B11" s="6" t="s">
        <v>38</v>
      </c>
      <c r="C11" s="6" t="s">
        <v>39</v>
      </c>
      <c r="D11" s="6">
        <v>130</v>
      </c>
      <c r="E11" s="6">
        <v>10</v>
      </c>
      <c r="F11" s="6" t="s">
        <v>24</v>
      </c>
      <c r="G11" s="7" t="str">
        <f t="shared" si="0"/>
        <v>Standard Price</v>
      </c>
      <c r="H11" s="8" t="str">
        <f t="shared" si="1"/>
        <v>14</v>
      </c>
      <c r="I11" s="8" t="str">
        <f t="shared" si="2"/>
        <v>UK</v>
      </c>
      <c r="J11" s="8" t="str">
        <f t="shared" si="3"/>
        <v>OCT</v>
      </c>
      <c r="L11" s="10" t="s">
        <v>100</v>
      </c>
      <c r="M11" s="11"/>
      <c r="N11" s="11"/>
      <c r="O11" s="9">
        <f>COUNTIF(D2:D35,"&lt;100")</f>
        <v>11</v>
      </c>
    </row>
    <row r="12" spans="1:15" ht="15.75" customHeight="1" x14ac:dyDescent="0.25">
      <c r="A12" s="6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7" t="str">
        <f t="shared" si="0"/>
        <v>High Price</v>
      </c>
      <c r="H12" s="8" t="str">
        <f t="shared" si="1"/>
        <v>17</v>
      </c>
      <c r="I12" s="8" t="str">
        <f t="shared" si="2"/>
        <v>IN</v>
      </c>
      <c r="J12" s="8" t="str">
        <f t="shared" si="3"/>
        <v>JUN</v>
      </c>
    </row>
    <row r="13" spans="1:15" ht="15.75" customHeight="1" x14ac:dyDescent="0.25">
      <c r="A13" s="6" t="s">
        <v>42</v>
      </c>
      <c r="B13" s="6" t="s">
        <v>11</v>
      </c>
      <c r="C13" s="6" t="s">
        <v>30</v>
      </c>
      <c r="D13" s="6">
        <v>90</v>
      </c>
      <c r="E13" s="6">
        <v>40</v>
      </c>
      <c r="F13" s="6" t="s">
        <v>13</v>
      </c>
      <c r="G13" s="7" t="str">
        <f t="shared" si="0"/>
        <v>Standard Price</v>
      </c>
      <c r="H13" s="8" t="str">
        <f t="shared" si="1"/>
        <v>25</v>
      </c>
      <c r="I13" s="8" t="str">
        <f t="shared" si="2"/>
        <v>AU</v>
      </c>
      <c r="J13" s="8" t="str">
        <f t="shared" si="3"/>
        <v>NOV</v>
      </c>
    </row>
    <row r="14" spans="1:15" ht="15.75" customHeight="1" x14ac:dyDescent="0.25">
      <c r="A14" s="6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7" t="str">
        <f t="shared" si="0"/>
        <v>Standard Price</v>
      </c>
      <c r="H14" s="8" t="str">
        <f t="shared" si="1"/>
        <v>08</v>
      </c>
      <c r="I14" s="8" t="str">
        <f t="shared" si="2"/>
        <v>DE</v>
      </c>
      <c r="J14" s="8" t="str">
        <f t="shared" si="3"/>
        <v>DEC</v>
      </c>
    </row>
    <row r="15" spans="1:15" ht="15.75" customHeight="1" x14ac:dyDescent="0.25">
      <c r="A15" s="6" t="s">
        <v>45</v>
      </c>
      <c r="B15" s="6" t="s">
        <v>46</v>
      </c>
      <c r="C15" s="6" t="s">
        <v>47</v>
      </c>
      <c r="D15" s="6">
        <v>150</v>
      </c>
      <c r="E15" s="6">
        <v>15</v>
      </c>
      <c r="F15" s="6" t="s">
        <v>9</v>
      </c>
      <c r="G15" s="7" t="str">
        <f t="shared" si="0"/>
        <v>Standard Price</v>
      </c>
      <c r="H15" s="8" t="str">
        <f t="shared" si="1"/>
        <v>18</v>
      </c>
      <c r="I15" s="8" t="str">
        <f t="shared" si="2"/>
        <v>CA</v>
      </c>
      <c r="J15" s="8" t="str">
        <f t="shared" si="3"/>
        <v>FEB</v>
      </c>
    </row>
    <row r="16" spans="1:15" ht="15.75" customHeight="1" x14ac:dyDescent="0.25">
      <c r="A16" s="6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7" t="str">
        <f t="shared" si="0"/>
        <v>Standard Price</v>
      </c>
      <c r="H16" s="8" t="str">
        <f t="shared" si="1"/>
        <v>16</v>
      </c>
      <c r="I16" s="8" t="str">
        <f t="shared" si="2"/>
        <v>ES</v>
      </c>
      <c r="J16" s="8" t="str">
        <f t="shared" si="3"/>
        <v>APR</v>
      </c>
    </row>
    <row r="17" spans="1:10" ht="15.75" customHeight="1" x14ac:dyDescent="0.25">
      <c r="A17" s="6" t="s">
        <v>50</v>
      </c>
      <c r="B17" s="6" t="s">
        <v>51</v>
      </c>
      <c r="C17" s="6" t="s">
        <v>52</v>
      </c>
      <c r="D17" s="6">
        <v>50</v>
      </c>
      <c r="E17" s="6">
        <v>35</v>
      </c>
      <c r="F17" s="6" t="s">
        <v>53</v>
      </c>
      <c r="G17" s="7" t="str">
        <f t="shared" si="0"/>
        <v>Standard Price</v>
      </c>
      <c r="H17" s="8" t="str">
        <f t="shared" si="1"/>
        <v>21</v>
      </c>
      <c r="I17" s="8" t="str">
        <f t="shared" si="2"/>
        <v>CA</v>
      </c>
      <c r="J17" s="8" t="str">
        <f t="shared" si="3"/>
        <v>AUG</v>
      </c>
    </row>
    <row r="18" spans="1:10" ht="15.75" customHeight="1" x14ac:dyDescent="0.25">
      <c r="A18" s="6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7" t="str">
        <f t="shared" si="0"/>
        <v>Standard Price</v>
      </c>
      <c r="H18" s="8" t="str">
        <f t="shared" si="1"/>
        <v>20</v>
      </c>
      <c r="I18" s="8" t="str">
        <f t="shared" si="2"/>
        <v>CN</v>
      </c>
      <c r="J18" s="8" t="str">
        <f t="shared" si="3"/>
        <v>AUG</v>
      </c>
    </row>
    <row r="19" spans="1:10" ht="15.75" customHeight="1" x14ac:dyDescent="0.25">
      <c r="A19" s="6" t="s">
        <v>56</v>
      </c>
      <c r="B19" s="6" t="s">
        <v>7</v>
      </c>
      <c r="C19" s="6" t="s">
        <v>57</v>
      </c>
      <c r="D19" s="6">
        <v>980</v>
      </c>
      <c r="E19" s="6">
        <v>10</v>
      </c>
      <c r="F19" s="6" t="s">
        <v>9</v>
      </c>
      <c r="G19" s="7" t="str">
        <f t="shared" si="0"/>
        <v>High Price</v>
      </c>
      <c r="H19" s="8" t="str">
        <f t="shared" si="1"/>
        <v>27</v>
      </c>
      <c r="I19" s="8" t="str">
        <f t="shared" si="2"/>
        <v>IT</v>
      </c>
      <c r="J19" s="8" t="str">
        <f t="shared" si="3"/>
        <v>JAN</v>
      </c>
    </row>
    <row r="20" spans="1:10" ht="15.75" customHeight="1" x14ac:dyDescent="0.25">
      <c r="A20" s="6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7" t="str">
        <f t="shared" si="0"/>
        <v>Standard Price</v>
      </c>
      <c r="H20" s="8" t="str">
        <f t="shared" si="1"/>
        <v>01</v>
      </c>
      <c r="I20" s="8" t="str">
        <f t="shared" si="2"/>
        <v>UK</v>
      </c>
      <c r="J20" s="8" t="str">
        <f t="shared" si="3"/>
        <v>MAR</v>
      </c>
    </row>
    <row r="21" spans="1:10" ht="15.75" customHeight="1" x14ac:dyDescent="0.25">
      <c r="A21" s="6" t="s">
        <v>61</v>
      </c>
      <c r="B21" s="6" t="s">
        <v>62</v>
      </c>
      <c r="C21" s="6" t="s">
        <v>63</v>
      </c>
      <c r="D21" s="6">
        <v>200</v>
      </c>
      <c r="E21" s="6">
        <v>10</v>
      </c>
      <c r="F21" s="6" t="s">
        <v>24</v>
      </c>
      <c r="G21" s="7" t="str">
        <f t="shared" si="0"/>
        <v>Standard Price</v>
      </c>
      <c r="H21" s="8" t="str">
        <f t="shared" si="1"/>
        <v>14</v>
      </c>
      <c r="I21" s="8" t="str">
        <f t="shared" si="2"/>
        <v>US</v>
      </c>
      <c r="J21" s="8" t="str">
        <f t="shared" si="3"/>
        <v>AUG</v>
      </c>
    </row>
    <row r="22" spans="1:10" ht="15.75" customHeight="1" x14ac:dyDescent="0.25">
      <c r="A22" s="6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7" t="str">
        <f t="shared" si="0"/>
        <v>High Price</v>
      </c>
      <c r="H22" s="8" t="str">
        <f t="shared" si="1"/>
        <v>14</v>
      </c>
      <c r="I22" s="8" t="str">
        <f t="shared" si="2"/>
        <v>RU</v>
      </c>
      <c r="J22" s="8" t="str">
        <f t="shared" si="3"/>
        <v>MAY</v>
      </c>
    </row>
    <row r="23" spans="1:10" ht="15.75" customHeight="1" x14ac:dyDescent="0.25">
      <c r="A23" s="6" t="s">
        <v>67</v>
      </c>
      <c r="B23" s="6" t="s">
        <v>68</v>
      </c>
      <c r="C23" s="6" t="s">
        <v>69</v>
      </c>
      <c r="D23" s="6">
        <v>80</v>
      </c>
      <c r="E23" s="6">
        <v>20</v>
      </c>
      <c r="F23" s="6" t="s">
        <v>17</v>
      </c>
      <c r="G23" s="7" t="str">
        <f t="shared" si="0"/>
        <v>Standard Price</v>
      </c>
      <c r="H23" s="8" t="str">
        <f t="shared" si="1"/>
        <v>09</v>
      </c>
      <c r="I23" s="8" t="str">
        <f t="shared" si="2"/>
        <v>CA</v>
      </c>
      <c r="J23" s="8" t="str">
        <f t="shared" si="3"/>
        <v>JAN</v>
      </c>
    </row>
    <row r="24" spans="1:10" ht="15.75" customHeight="1" x14ac:dyDescent="0.25">
      <c r="A24" s="6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7" t="str">
        <f t="shared" si="0"/>
        <v>Standard Price</v>
      </c>
      <c r="H24" s="8" t="str">
        <f t="shared" si="1"/>
        <v>19</v>
      </c>
      <c r="I24" s="8" t="str">
        <f t="shared" si="2"/>
        <v>BR</v>
      </c>
      <c r="J24" s="8" t="str">
        <f t="shared" si="3"/>
        <v>JUL</v>
      </c>
    </row>
    <row r="25" spans="1:10" ht="15.75" customHeight="1" x14ac:dyDescent="0.25">
      <c r="A25" s="6" t="s">
        <v>50</v>
      </c>
      <c r="B25" s="6" t="s">
        <v>51</v>
      </c>
      <c r="C25" s="6" t="s">
        <v>52</v>
      </c>
      <c r="D25" s="6">
        <v>50</v>
      </c>
      <c r="E25" s="6">
        <v>35</v>
      </c>
      <c r="F25" s="6" t="s">
        <v>53</v>
      </c>
      <c r="G25" s="7" t="str">
        <f t="shared" si="0"/>
        <v>Standard Price</v>
      </c>
      <c r="H25" s="8" t="str">
        <f t="shared" si="1"/>
        <v>21</v>
      </c>
      <c r="I25" s="8" t="str">
        <f t="shared" si="2"/>
        <v>CA</v>
      </c>
      <c r="J25" s="8" t="str">
        <f t="shared" si="3"/>
        <v>AUG</v>
      </c>
    </row>
    <row r="26" spans="1:10" ht="15.75" customHeight="1" x14ac:dyDescent="0.25">
      <c r="A26" s="6" t="s">
        <v>73</v>
      </c>
      <c r="B26" s="6" t="s">
        <v>19</v>
      </c>
      <c r="C26" s="6" t="s">
        <v>74</v>
      </c>
      <c r="D26" s="6">
        <v>800</v>
      </c>
      <c r="E26" s="6">
        <v>45</v>
      </c>
      <c r="F26" s="6" t="s">
        <v>9</v>
      </c>
      <c r="G26" s="7" t="str">
        <f t="shared" si="0"/>
        <v>High Price</v>
      </c>
      <c r="H26" s="8" t="str">
        <f t="shared" si="1"/>
        <v>29</v>
      </c>
      <c r="I26" s="8" t="str">
        <f t="shared" si="2"/>
        <v>CA</v>
      </c>
      <c r="J26" s="8" t="str">
        <f t="shared" si="3"/>
        <v>SEP</v>
      </c>
    </row>
    <row r="27" spans="1:10" ht="15.75" customHeight="1" x14ac:dyDescent="0.25">
      <c r="A27" s="6" t="s">
        <v>75</v>
      </c>
      <c r="B27" s="6" t="s">
        <v>59</v>
      </c>
      <c r="C27" s="6" t="s">
        <v>76</v>
      </c>
      <c r="D27" s="6">
        <v>130</v>
      </c>
      <c r="E27" s="6">
        <v>25</v>
      </c>
      <c r="F27" s="6" t="s">
        <v>13</v>
      </c>
      <c r="G27" s="7" t="str">
        <f t="shared" si="0"/>
        <v>Standard Price</v>
      </c>
      <c r="H27" s="8" t="str">
        <f t="shared" si="1"/>
        <v>03</v>
      </c>
      <c r="I27" s="8" t="str">
        <f t="shared" si="2"/>
        <v>CA</v>
      </c>
      <c r="J27" s="8" t="str">
        <f t="shared" si="3"/>
        <v>JUN</v>
      </c>
    </row>
    <row r="28" spans="1:10" ht="15.75" customHeight="1" x14ac:dyDescent="0.25">
      <c r="A28" s="6" t="s">
        <v>77</v>
      </c>
      <c r="B28" s="6" t="s">
        <v>32</v>
      </c>
      <c r="C28" s="6" t="s">
        <v>78</v>
      </c>
      <c r="D28" s="6">
        <v>400</v>
      </c>
      <c r="E28" s="6">
        <v>40</v>
      </c>
      <c r="F28" s="6" t="s">
        <v>17</v>
      </c>
      <c r="G28" s="7" t="str">
        <f t="shared" si="0"/>
        <v>Standard Price</v>
      </c>
      <c r="H28" s="8" t="str">
        <f t="shared" si="1"/>
        <v>11</v>
      </c>
      <c r="I28" s="8" t="str">
        <f t="shared" si="2"/>
        <v>CA</v>
      </c>
      <c r="J28" s="8" t="str">
        <f t="shared" si="3"/>
        <v>JUL</v>
      </c>
    </row>
    <row r="29" spans="1:10" ht="15.75" customHeight="1" x14ac:dyDescent="0.25">
      <c r="A29" s="6" t="s">
        <v>48</v>
      </c>
      <c r="B29" s="6" t="s">
        <v>26</v>
      </c>
      <c r="C29" s="6" t="s">
        <v>49</v>
      </c>
      <c r="D29" s="6">
        <v>230</v>
      </c>
      <c r="E29" s="6">
        <v>20</v>
      </c>
      <c r="F29" s="6" t="s">
        <v>9</v>
      </c>
      <c r="G29" s="7" t="str">
        <f t="shared" si="0"/>
        <v>Standard Price</v>
      </c>
      <c r="H29" s="8" t="str">
        <f t="shared" si="1"/>
        <v>16</v>
      </c>
      <c r="I29" s="8" t="str">
        <f t="shared" si="2"/>
        <v>ES</v>
      </c>
      <c r="J29" s="8" t="str">
        <f t="shared" si="3"/>
        <v>APR</v>
      </c>
    </row>
    <row r="30" spans="1:10" ht="15.75" customHeight="1" x14ac:dyDescent="0.25">
      <c r="A30" s="6" t="s">
        <v>79</v>
      </c>
      <c r="B30" s="6" t="s">
        <v>80</v>
      </c>
      <c r="C30" s="6" t="s">
        <v>81</v>
      </c>
      <c r="D30" s="6">
        <v>60</v>
      </c>
      <c r="E30" s="6">
        <v>30</v>
      </c>
      <c r="F30" s="6" t="s">
        <v>13</v>
      </c>
      <c r="G30" s="7" t="str">
        <f t="shared" si="0"/>
        <v>Standard Price</v>
      </c>
      <c r="H30" s="8" t="str">
        <f t="shared" si="1"/>
        <v>07</v>
      </c>
      <c r="I30" s="8" t="str">
        <f t="shared" si="2"/>
        <v>CA</v>
      </c>
      <c r="J30" s="8" t="str">
        <f t="shared" si="3"/>
        <v>MAR</v>
      </c>
    </row>
    <row r="31" spans="1:10" ht="15.75" customHeight="1" x14ac:dyDescent="0.25">
      <c r="A31" s="6" t="s">
        <v>82</v>
      </c>
      <c r="B31" s="6" t="s">
        <v>83</v>
      </c>
      <c r="C31" s="6" t="s">
        <v>84</v>
      </c>
      <c r="D31" s="6">
        <v>40</v>
      </c>
      <c r="E31" s="6">
        <v>10</v>
      </c>
      <c r="F31" s="6" t="s">
        <v>17</v>
      </c>
      <c r="G31" s="7" t="str">
        <f t="shared" si="0"/>
        <v>Standard Price</v>
      </c>
      <c r="H31" s="8" t="str">
        <f t="shared" si="1"/>
        <v>13</v>
      </c>
      <c r="I31" s="8" t="str">
        <f t="shared" si="2"/>
        <v>CA</v>
      </c>
      <c r="J31" s="8" t="str">
        <f t="shared" si="3"/>
        <v>APR</v>
      </c>
    </row>
    <row r="32" spans="1:10" ht="15.75" customHeight="1" x14ac:dyDescent="0.25">
      <c r="A32" s="6" t="s">
        <v>85</v>
      </c>
      <c r="B32" s="6" t="s">
        <v>71</v>
      </c>
      <c r="C32" s="6" t="s">
        <v>86</v>
      </c>
      <c r="D32" s="6">
        <v>130</v>
      </c>
      <c r="E32" s="6">
        <v>5</v>
      </c>
      <c r="F32" s="6" t="s">
        <v>9</v>
      </c>
      <c r="G32" s="7" t="str">
        <f t="shared" si="0"/>
        <v>Standard Price</v>
      </c>
      <c r="H32" s="8" t="str">
        <f t="shared" si="1"/>
        <v>24</v>
      </c>
      <c r="I32" s="8" t="str">
        <f t="shared" si="2"/>
        <v>CA</v>
      </c>
      <c r="J32" s="8" t="str">
        <f t="shared" si="3"/>
        <v>MAY</v>
      </c>
    </row>
    <row r="33" spans="1:10" ht="15.75" customHeight="1" x14ac:dyDescent="0.25">
      <c r="A33" s="6" t="s">
        <v>87</v>
      </c>
      <c r="B33" s="6" t="s">
        <v>88</v>
      </c>
      <c r="C33" s="6" t="s">
        <v>89</v>
      </c>
      <c r="D33" s="6">
        <v>50</v>
      </c>
      <c r="E33" s="6">
        <v>50</v>
      </c>
      <c r="F33" s="6" t="s">
        <v>13</v>
      </c>
      <c r="G33" s="7" t="str">
        <f t="shared" si="0"/>
        <v>Standard Price</v>
      </c>
      <c r="H33" s="8" t="str">
        <f t="shared" si="1"/>
        <v>02</v>
      </c>
      <c r="I33" s="8" t="str">
        <f t="shared" si="2"/>
        <v>CA</v>
      </c>
      <c r="J33" s="8" t="str">
        <f t="shared" si="3"/>
        <v>DEC</v>
      </c>
    </row>
    <row r="34" spans="1:10" ht="15.75" customHeight="1" x14ac:dyDescent="0.25">
      <c r="A34" s="6" t="s">
        <v>40</v>
      </c>
      <c r="B34" s="6" t="s">
        <v>7</v>
      </c>
      <c r="C34" s="6" t="s">
        <v>41</v>
      </c>
      <c r="D34" s="6">
        <v>950</v>
      </c>
      <c r="E34" s="6">
        <v>25</v>
      </c>
      <c r="F34" s="6" t="s">
        <v>9</v>
      </c>
      <c r="G34" s="7" t="str">
        <f t="shared" si="0"/>
        <v>High Price</v>
      </c>
      <c r="H34" s="8" t="str">
        <f t="shared" si="1"/>
        <v>17</v>
      </c>
      <c r="I34" s="8" t="str">
        <f t="shared" si="2"/>
        <v>IN</v>
      </c>
      <c r="J34" s="8" t="str">
        <f t="shared" si="3"/>
        <v>JUN</v>
      </c>
    </row>
    <row r="35" spans="1:10" ht="15.75" customHeight="1" x14ac:dyDescent="0.25">
      <c r="A35" s="6" t="s">
        <v>90</v>
      </c>
      <c r="B35" s="6" t="s">
        <v>91</v>
      </c>
      <c r="C35" s="6" t="s">
        <v>92</v>
      </c>
      <c r="D35" s="6">
        <v>100</v>
      </c>
      <c r="E35" s="6">
        <v>20</v>
      </c>
      <c r="F35" s="6" t="s">
        <v>53</v>
      </c>
      <c r="G35" s="7" t="str">
        <f t="shared" si="0"/>
        <v>Standard Price</v>
      </c>
      <c r="H35" s="8" t="str">
        <f t="shared" si="1"/>
        <v>09</v>
      </c>
      <c r="I35" s="8" t="str">
        <f t="shared" si="2"/>
        <v>FR</v>
      </c>
      <c r="J35" s="8" t="str">
        <f t="shared" si="3"/>
        <v>JUL</v>
      </c>
    </row>
    <row r="36" spans="1:10" ht="15.75" customHeight="1" x14ac:dyDescent="0.25">
      <c r="G36" s="3"/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J35" xr:uid="{20029CD8-5DC9-4F86-90AC-E2FCAC73EF06}"/>
  <mergeCells count="7">
    <mergeCell ref="L11:N11"/>
    <mergeCell ref="L5:N5"/>
    <mergeCell ref="L6:N6"/>
    <mergeCell ref="L7:N7"/>
    <mergeCell ref="L8:N8"/>
    <mergeCell ref="L9:N9"/>
    <mergeCell ref="L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kavin sreeram</cp:lastModifiedBy>
  <dcterms:created xsi:type="dcterms:W3CDTF">2026-07-22T15:46:16Z</dcterms:created>
  <dcterms:modified xsi:type="dcterms:W3CDTF">2026-07-22T15:59:21Z</dcterms:modified>
</cp:coreProperties>
</file>