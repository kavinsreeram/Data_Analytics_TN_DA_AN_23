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e1c8049cb5724b/Documents/"/>
    </mc:Choice>
  </mc:AlternateContent>
  <xr:revisionPtr revIDLastSave="7" documentId="8_{925C5D34-280E-4A47-A22F-CDF9970DB602}" xr6:coauthVersionLast="47" xr6:coauthVersionMax="47" xr10:uidLastSave="{5BFBDFD0-96B4-4EEC-B705-1C81AE6E3C9A}"/>
  <bookViews>
    <workbookView xWindow="-108" yWindow="-108" windowWidth="23256" windowHeight="12456" activeTab="1" xr2:uid="{481788D2-B6F3-42C0-A38F-C9C60F293729}"/>
  </bookViews>
  <sheets>
    <sheet name="Raw_Data" sheetId="1" r:id="rId1"/>
    <sheet name="Clean_Data" sheetId="3" r:id="rId2"/>
  </sheets>
  <definedNames>
    <definedName name="_xlnm._FilterDatabase" localSheetId="0" hidden="1">Raw_Data!$A$1:$J$1001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3" l="1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N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M2" i="3"/>
  <c r="M3" i="3"/>
  <c r="M4" i="3"/>
  <c r="M5" i="3"/>
  <c r="M6" i="3"/>
  <c r="Q6" i="3" s="1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Q139" i="3" s="1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Q235" i="3" s="1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Q295" i="3" s="1"/>
  <c r="M296" i="3"/>
  <c r="M297" i="3"/>
  <c r="M298" i="3"/>
  <c r="M299" i="3"/>
  <c r="M300" i="3"/>
  <c r="M301" i="3"/>
  <c r="M302" i="3"/>
  <c r="M303" i="3"/>
  <c r="M304" i="3"/>
  <c r="M305" i="3"/>
  <c r="M306" i="3"/>
  <c r="M307" i="3"/>
  <c r="Q307" i="3" s="1"/>
  <c r="M308" i="3"/>
  <c r="M309" i="3"/>
  <c r="M310" i="3"/>
  <c r="M311" i="3"/>
  <c r="M312" i="3"/>
  <c r="M313" i="3"/>
  <c r="M314" i="3"/>
  <c r="M315" i="3"/>
  <c r="M316" i="3"/>
  <c r="M317" i="3"/>
  <c r="M318" i="3"/>
  <c r="M319" i="3"/>
  <c r="Q319" i="3" s="1"/>
  <c r="M320" i="3"/>
  <c r="M321" i="3"/>
  <c r="M322" i="3"/>
  <c r="M323" i="3"/>
  <c r="M324" i="3"/>
  <c r="M325" i="3"/>
  <c r="M326" i="3"/>
  <c r="M327" i="3"/>
  <c r="M328" i="3"/>
  <c r="M329" i="3"/>
  <c r="M330" i="3"/>
  <c r="M331" i="3"/>
  <c r="Q331" i="3" s="1"/>
  <c r="M332" i="3"/>
  <c r="M333" i="3"/>
  <c r="M334" i="3"/>
  <c r="M335" i="3"/>
  <c r="M336" i="3"/>
  <c r="M337" i="3"/>
  <c r="M338" i="3"/>
  <c r="M339" i="3"/>
  <c r="M340" i="3"/>
  <c r="M341" i="3"/>
  <c r="M342" i="3"/>
  <c r="M343" i="3"/>
  <c r="Q343" i="3" s="1"/>
  <c r="M344" i="3"/>
  <c r="M345" i="3"/>
  <c r="M346" i="3"/>
  <c r="M347" i="3"/>
  <c r="M348" i="3"/>
  <c r="M349" i="3"/>
  <c r="M350" i="3"/>
  <c r="M351" i="3"/>
  <c r="M352" i="3"/>
  <c r="M353" i="3"/>
  <c r="M354" i="3"/>
  <c r="M355" i="3"/>
  <c r="Q355" i="3" s="1"/>
  <c r="M356" i="3"/>
  <c r="M357" i="3"/>
  <c r="M358" i="3"/>
  <c r="M359" i="3"/>
  <c r="M360" i="3"/>
  <c r="M361" i="3"/>
  <c r="M362" i="3"/>
  <c r="M363" i="3"/>
  <c r="M364" i="3"/>
  <c r="M365" i="3"/>
  <c r="M366" i="3"/>
  <c r="M367" i="3"/>
  <c r="Q367" i="3" s="1"/>
  <c r="M368" i="3"/>
  <c r="M369" i="3"/>
  <c r="M370" i="3"/>
  <c r="M371" i="3"/>
  <c r="M372" i="3"/>
  <c r="M373" i="3"/>
  <c r="M374" i="3"/>
  <c r="M375" i="3"/>
  <c r="M376" i="3"/>
  <c r="M377" i="3"/>
  <c r="M378" i="3"/>
  <c r="M379" i="3"/>
  <c r="Q379" i="3" s="1"/>
  <c r="M380" i="3"/>
  <c r="M381" i="3"/>
  <c r="M382" i="3"/>
  <c r="M383" i="3"/>
  <c r="M384" i="3"/>
  <c r="M385" i="3"/>
  <c r="M386" i="3"/>
  <c r="M387" i="3"/>
  <c r="M388" i="3"/>
  <c r="M389" i="3"/>
  <c r="M390" i="3"/>
  <c r="M391" i="3"/>
  <c r="Q391" i="3" s="1"/>
  <c r="M392" i="3"/>
  <c r="M393" i="3"/>
  <c r="M394" i="3"/>
  <c r="M395" i="3"/>
  <c r="M396" i="3"/>
  <c r="M397" i="3"/>
  <c r="M398" i="3"/>
  <c r="M399" i="3"/>
  <c r="M400" i="3"/>
  <c r="M401" i="3"/>
  <c r="M402" i="3"/>
  <c r="M403" i="3"/>
  <c r="Q403" i="3" s="1"/>
  <c r="M404" i="3"/>
  <c r="M405" i="3"/>
  <c r="M406" i="3"/>
  <c r="M407" i="3"/>
  <c r="M408" i="3"/>
  <c r="M409" i="3"/>
  <c r="M410" i="3"/>
  <c r="M411" i="3"/>
  <c r="M412" i="3"/>
  <c r="M413" i="3"/>
  <c r="M414" i="3"/>
  <c r="M415" i="3"/>
  <c r="Q415" i="3" s="1"/>
  <c r="M416" i="3"/>
  <c r="M417" i="3"/>
  <c r="M418" i="3"/>
  <c r="M419" i="3"/>
  <c r="M420" i="3"/>
  <c r="M421" i="3"/>
  <c r="M422" i="3"/>
  <c r="M423" i="3"/>
  <c r="M424" i="3"/>
  <c r="M425" i="3"/>
  <c r="M426" i="3"/>
  <c r="M427" i="3"/>
  <c r="Q427" i="3" s="1"/>
  <c r="M428" i="3"/>
  <c r="M429" i="3"/>
  <c r="M430" i="3"/>
  <c r="M431" i="3"/>
  <c r="M432" i="3"/>
  <c r="M433" i="3"/>
  <c r="M434" i="3"/>
  <c r="M435" i="3"/>
  <c r="M436" i="3"/>
  <c r="M437" i="3"/>
  <c r="M438" i="3"/>
  <c r="M439" i="3"/>
  <c r="Q439" i="3" s="1"/>
  <c r="M440" i="3"/>
  <c r="M441" i="3"/>
  <c r="M442" i="3"/>
  <c r="M443" i="3"/>
  <c r="M444" i="3"/>
  <c r="M445" i="3"/>
  <c r="M446" i="3"/>
  <c r="M447" i="3"/>
  <c r="M448" i="3"/>
  <c r="M449" i="3"/>
  <c r="M450" i="3"/>
  <c r="M451" i="3"/>
  <c r="Q451" i="3" s="1"/>
  <c r="M452" i="3"/>
  <c r="M453" i="3"/>
  <c r="M454" i="3"/>
  <c r="M455" i="3"/>
  <c r="M456" i="3"/>
  <c r="M457" i="3"/>
  <c r="M458" i="3"/>
  <c r="M459" i="3"/>
  <c r="M460" i="3"/>
  <c r="M461" i="3"/>
  <c r="M462" i="3"/>
  <c r="M463" i="3"/>
  <c r="Q463" i="3" s="1"/>
  <c r="M464" i="3"/>
  <c r="M465" i="3"/>
  <c r="M466" i="3"/>
  <c r="M467" i="3"/>
  <c r="M468" i="3"/>
  <c r="M469" i="3"/>
  <c r="M470" i="3"/>
  <c r="M471" i="3"/>
  <c r="M472" i="3"/>
  <c r="M473" i="3"/>
  <c r="M474" i="3"/>
  <c r="M475" i="3"/>
  <c r="Q475" i="3" s="1"/>
  <c r="M476" i="3"/>
  <c r="M477" i="3"/>
  <c r="M478" i="3"/>
  <c r="M479" i="3"/>
  <c r="M480" i="3"/>
  <c r="M481" i="3"/>
  <c r="M482" i="3"/>
  <c r="M483" i="3"/>
  <c r="M484" i="3"/>
  <c r="M485" i="3"/>
  <c r="M486" i="3"/>
  <c r="M487" i="3"/>
  <c r="Q487" i="3" s="1"/>
  <c r="M488" i="3"/>
  <c r="M489" i="3"/>
  <c r="M490" i="3"/>
  <c r="M491" i="3"/>
  <c r="M492" i="3"/>
  <c r="M493" i="3"/>
  <c r="M494" i="3"/>
  <c r="M495" i="3"/>
  <c r="M496" i="3"/>
  <c r="M497" i="3"/>
  <c r="M498" i="3"/>
  <c r="M499" i="3"/>
  <c r="Q499" i="3" s="1"/>
  <c r="M500" i="3"/>
  <c r="M501" i="3"/>
  <c r="M502" i="3"/>
  <c r="M503" i="3"/>
  <c r="M504" i="3"/>
  <c r="M505" i="3"/>
  <c r="M506" i="3"/>
  <c r="M507" i="3"/>
  <c r="M508" i="3"/>
  <c r="M509" i="3"/>
  <c r="M510" i="3"/>
  <c r="M511" i="3"/>
  <c r="Q511" i="3" s="1"/>
  <c r="M512" i="3"/>
  <c r="M513" i="3"/>
  <c r="M514" i="3"/>
  <c r="M515" i="3"/>
  <c r="M516" i="3"/>
  <c r="M517" i="3"/>
  <c r="M518" i="3"/>
  <c r="M519" i="3"/>
  <c r="M520" i="3"/>
  <c r="M521" i="3"/>
  <c r="M522" i="3"/>
  <c r="M523" i="3"/>
  <c r="Q523" i="3" s="1"/>
  <c r="M524" i="3"/>
  <c r="M525" i="3"/>
  <c r="M526" i="3"/>
  <c r="M527" i="3"/>
  <c r="M528" i="3"/>
  <c r="M529" i="3"/>
  <c r="M530" i="3"/>
  <c r="M531" i="3"/>
  <c r="M532" i="3"/>
  <c r="M533" i="3"/>
  <c r="M534" i="3"/>
  <c r="M535" i="3"/>
  <c r="Q535" i="3" s="1"/>
  <c r="M536" i="3"/>
  <c r="M537" i="3"/>
  <c r="M538" i="3"/>
  <c r="M539" i="3"/>
  <c r="M540" i="3"/>
  <c r="M541" i="3"/>
  <c r="M542" i="3"/>
  <c r="M543" i="3"/>
  <c r="M544" i="3"/>
  <c r="M545" i="3"/>
  <c r="M546" i="3"/>
  <c r="M547" i="3"/>
  <c r="Q547" i="3" s="1"/>
  <c r="M548" i="3"/>
  <c r="M549" i="3"/>
  <c r="M550" i="3"/>
  <c r="M551" i="3"/>
  <c r="M552" i="3"/>
  <c r="M553" i="3"/>
  <c r="M554" i="3"/>
  <c r="M555" i="3"/>
  <c r="M556" i="3"/>
  <c r="M557" i="3"/>
  <c r="M558" i="3"/>
  <c r="M559" i="3"/>
  <c r="Q559" i="3" s="1"/>
  <c r="M560" i="3"/>
  <c r="M561" i="3"/>
  <c r="M562" i="3"/>
  <c r="M563" i="3"/>
  <c r="M564" i="3"/>
  <c r="M565" i="3"/>
  <c r="M566" i="3"/>
  <c r="M567" i="3"/>
  <c r="M568" i="3"/>
  <c r="M569" i="3"/>
  <c r="M570" i="3"/>
  <c r="M571" i="3"/>
  <c r="Q571" i="3" s="1"/>
  <c r="M572" i="3"/>
  <c r="M573" i="3"/>
  <c r="M574" i="3"/>
  <c r="M575" i="3"/>
  <c r="M576" i="3"/>
  <c r="M577" i="3"/>
  <c r="M578" i="3"/>
  <c r="M579" i="3"/>
  <c r="M580" i="3"/>
  <c r="M581" i="3"/>
  <c r="M582" i="3"/>
  <c r="M583" i="3"/>
  <c r="Q583" i="3" s="1"/>
  <c r="M584" i="3"/>
  <c r="M585" i="3"/>
  <c r="M586" i="3"/>
  <c r="M587" i="3"/>
  <c r="M588" i="3"/>
  <c r="M589" i="3"/>
  <c r="M590" i="3"/>
  <c r="M591" i="3"/>
  <c r="M592" i="3"/>
  <c r="M593" i="3"/>
  <c r="M594" i="3"/>
  <c r="M595" i="3"/>
  <c r="Q595" i="3" s="1"/>
  <c r="M596" i="3"/>
  <c r="M597" i="3"/>
  <c r="M598" i="3"/>
  <c r="M599" i="3"/>
  <c r="M600" i="3"/>
  <c r="M601" i="3"/>
  <c r="M602" i="3"/>
  <c r="M603" i="3"/>
  <c r="M604" i="3"/>
  <c r="M605" i="3"/>
  <c r="M606" i="3"/>
  <c r="M607" i="3"/>
  <c r="Q607" i="3" s="1"/>
  <c r="M608" i="3"/>
  <c r="M609" i="3"/>
  <c r="M610" i="3"/>
  <c r="M611" i="3"/>
  <c r="M612" i="3"/>
  <c r="M613" i="3"/>
  <c r="M614" i="3"/>
  <c r="M615" i="3"/>
  <c r="M616" i="3"/>
  <c r="M617" i="3"/>
  <c r="M618" i="3"/>
  <c r="M619" i="3"/>
  <c r="Q619" i="3" s="1"/>
  <c r="M620" i="3"/>
  <c r="M621" i="3"/>
  <c r="M622" i="3"/>
  <c r="M623" i="3"/>
  <c r="M624" i="3"/>
  <c r="M625" i="3"/>
  <c r="M626" i="3"/>
  <c r="M627" i="3"/>
  <c r="M628" i="3"/>
  <c r="M629" i="3"/>
  <c r="M630" i="3"/>
  <c r="M631" i="3"/>
  <c r="Q631" i="3" s="1"/>
  <c r="M632" i="3"/>
  <c r="M633" i="3"/>
  <c r="M634" i="3"/>
  <c r="M635" i="3"/>
  <c r="M636" i="3"/>
  <c r="M637" i="3"/>
  <c r="M638" i="3"/>
  <c r="M639" i="3"/>
  <c r="M640" i="3"/>
  <c r="M641" i="3"/>
  <c r="M642" i="3"/>
  <c r="M643" i="3"/>
  <c r="Q643" i="3" s="1"/>
  <c r="M644" i="3"/>
  <c r="M645" i="3"/>
  <c r="M646" i="3"/>
  <c r="M647" i="3"/>
  <c r="M648" i="3"/>
  <c r="M649" i="3"/>
  <c r="M650" i="3"/>
  <c r="M651" i="3"/>
  <c r="M652" i="3"/>
  <c r="M653" i="3"/>
  <c r="M654" i="3"/>
  <c r="M655" i="3"/>
  <c r="Q655" i="3" s="1"/>
  <c r="M656" i="3"/>
  <c r="M657" i="3"/>
  <c r="M658" i="3"/>
  <c r="M659" i="3"/>
  <c r="M660" i="3"/>
  <c r="M661" i="3"/>
  <c r="M662" i="3"/>
  <c r="M663" i="3"/>
  <c r="M664" i="3"/>
  <c r="M665" i="3"/>
  <c r="M666" i="3"/>
  <c r="M667" i="3"/>
  <c r="Q667" i="3" s="1"/>
  <c r="M668" i="3"/>
  <c r="M669" i="3"/>
  <c r="M670" i="3"/>
  <c r="M671" i="3"/>
  <c r="M672" i="3"/>
  <c r="M673" i="3"/>
  <c r="M674" i="3"/>
  <c r="M675" i="3"/>
  <c r="M676" i="3"/>
  <c r="M677" i="3"/>
  <c r="M678" i="3"/>
  <c r="M679" i="3"/>
  <c r="Q679" i="3" s="1"/>
  <c r="M680" i="3"/>
  <c r="M681" i="3"/>
  <c r="M682" i="3"/>
  <c r="M683" i="3"/>
  <c r="M684" i="3"/>
  <c r="M685" i="3"/>
  <c r="M686" i="3"/>
  <c r="M687" i="3"/>
  <c r="M688" i="3"/>
  <c r="M689" i="3"/>
  <c r="M690" i="3"/>
  <c r="M691" i="3"/>
  <c r="Q691" i="3" s="1"/>
  <c r="M692" i="3"/>
  <c r="M693" i="3"/>
  <c r="M694" i="3"/>
  <c r="M695" i="3"/>
  <c r="M696" i="3"/>
  <c r="M697" i="3"/>
  <c r="M698" i="3"/>
  <c r="M699" i="3"/>
  <c r="M700" i="3"/>
  <c r="M701" i="3"/>
  <c r="M702" i="3"/>
  <c r="M703" i="3"/>
  <c r="Q703" i="3" s="1"/>
  <c r="M704" i="3"/>
  <c r="M705" i="3"/>
  <c r="M706" i="3"/>
  <c r="M707" i="3"/>
  <c r="M708" i="3"/>
  <c r="M709" i="3"/>
  <c r="M710" i="3"/>
  <c r="M711" i="3"/>
  <c r="M712" i="3"/>
  <c r="M713" i="3"/>
  <c r="M714" i="3"/>
  <c r="M715" i="3"/>
  <c r="Q715" i="3" s="1"/>
  <c r="M716" i="3"/>
  <c r="M717" i="3"/>
  <c r="M718" i="3"/>
  <c r="M719" i="3"/>
  <c r="M720" i="3"/>
  <c r="M721" i="3"/>
  <c r="M722" i="3"/>
  <c r="M723" i="3"/>
  <c r="M724" i="3"/>
  <c r="M725" i="3"/>
  <c r="M726" i="3"/>
  <c r="M727" i="3"/>
  <c r="Q727" i="3" s="1"/>
  <c r="M728" i="3"/>
  <c r="M729" i="3"/>
  <c r="M730" i="3"/>
  <c r="M731" i="3"/>
  <c r="M732" i="3"/>
  <c r="M733" i="3"/>
  <c r="M734" i="3"/>
  <c r="M735" i="3"/>
  <c r="M736" i="3"/>
  <c r="M737" i="3"/>
  <c r="M738" i="3"/>
  <c r="M739" i="3"/>
  <c r="Q739" i="3" s="1"/>
  <c r="M740" i="3"/>
  <c r="M741" i="3"/>
  <c r="M742" i="3"/>
  <c r="M743" i="3"/>
  <c r="M744" i="3"/>
  <c r="M745" i="3"/>
  <c r="M746" i="3"/>
  <c r="M747" i="3"/>
  <c r="M748" i="3"/>
  <c r="M749" i="3"/>
  <c r="M750" i="3"/>
  <c r="M751" i="3"/>
  <c r="Q751" i="3" s="1"/>
  <c r="M752" i="3"/>
  <c r="M753" i="3"/>
  <c r="M754" i="3"/>
  <c r="M755" i="3"/>
  <c r="M756" i="3"/>
  <c r="M757" i="3"/>
  <c r="M758" i="3"/>
  <c r="M759" i="3"/>
  <c r="M760" i="3"/>
  <c r="M761" i="3"/>
  <c r="M762" i="3"/>
  <c r="M763" i="3"/>
  <c r="Q763" i="3" s="1"/>
  <c r="M764" i="3"/>
  <c r="M765" i="3"/>
  <c r="M766" i="3"/>
  <c r="M767" i="3"/>
  <c r="M768" i="3"/>
  <c r="M769" i="3"/>
  <c r="M770" i="3"/>
  <c r="M771" i="3"/>
  <c r="M772" i="3"/>
  <c r="M773" i="3"/>
  <c r="M774" i="3"/>
  <c r="M775" i="3"/>
  <c r="Q775" i="3" s="1"/>
  <c r="M776" i="3"/>
  <c r="M777" i="3"/>
  <c r="M778" i="3"/>
  <c r="M779" i="3"/>
  <c r="M780" i="3"/>
  <c r="M781" i="3"/>
  <c r="M782" i="3"/>
  <c r="M783" i="3"/>
  <c r="M784" i="3"/>
  <c r="M785" i="3"/>
  <c r="M786" i="3"/>
  <c r="M787" i="3"/>
  <c r="Q787" i="3" s="1"/>
  <c r="M788" i="3"/>
  <c r="M789" i="3"/>
  <c r="M790" i="3"/>
  <c r="M791" i="3"/>
  <c r="M792" i="3"/>
  <c r="M793" i="3"/>
  <c r="M794" i="3"/>
  <c r="M795" i="3"/>
  <c r="M796" i="3"/>
  <c r="M797" i="3"/>
  <c r="M798" i="3"/>
  <c r="M799" i="3"/>
  <c r="Q799" i="3" s="1"/>
  <c r="M800" i="3"/>
  <c r="M801" i="3"/>
  <c r="M802" i="3"/>
  <c r="M803" i="3"/>
  <c r="M804" i="3"/>
  <c r="M805" i="3"/>
  <c r="M806" i="3"/>
  <c r="M807" i="3"/>
  <c r="M808" i="3"/>
  <c r="M809" i="3"/>
  <c r="M810" i="3"/>
  <c r="M811" i="3"/>
  <c r="Q811" i="3" s="1"/>
  <c r="M812" i="3"/>
  <c r="M813" i="3"/>
  <c r="M814" i="3"/>
  <c r="M815" i="3"/>
  <c r="M816" i="3"/>
  <c r="M817" i="3"/>
  <c r="M818" i="3"/>
  <c r="M819" i="3"/>
  <c r="M820" i="3"/>
  <c r="M821" i="3"/>
  <c r="M822" i="3"/>
  <c r="M823" i="3"/>
  <c r="Q823" i="3" s="1"/>
  <c r="M824" i="3"/>
  <c r="M825" i="3"/>
  <c r="M826" i="3"/>
  <c r="M827" i="3"/>
  <c r="M828" i="3"/>
  <c r="M829" i="3"/>
  <c r="M830" i="3"/>
  <c r="M831" i="3"/>
  <c r="M832" i="3"/>
  <c r="M833" i="3"/>
  <c r="M834" i="3"/>
  <c r="M835" i="3"/>
  <c r="Q835" i="3" s="1"/>
  <c r="M836" i="3"/>
  <c r="M837" i="3"/>
  <c r="M838" i="3"/>
  <c r="M839" i="3"/>
  <c r="M840" i="3"/>
  <c r="M841" i="3"/>
  <c r="M842" i="3"/>
  <c r="M843" i="3"/>
  <c r="M844" i="3"/>
  <c r="M845" i="3"/>
  <c r="M846" i="3"/>
  <c r="M847" i="3"/>
  <c r="Q847" i="3" s="1"/>
  <c r="M848" i="3"/>
  <c r="M849" i="3"/>
  <c r="M850" i="3"/>
  <c r="M851" i="3"/>
  <c r="M852" i="3"/>
  <c r="M853" i="3"/>
  <c r="M854" i="3"/>
  <c r="M855" i="3"/>
  <c r="M856" i="3"/>
  <c r="M857" i="3"/>
  <c r="M858" i="3"/>
  <c r="M859" i="3"/>
  <c r="Q859" i="3" s="1"/>
  <c r="M860" i="3"/>
  <c r="M861" i="3"/>
  <c r="M862" i="3"/>
  <c r="M863" i="3"/>
  <c r="M864" i="3"/>
  <c r="M865" i="3"/>
  <c r="M866" i="3"/>
  <c r="M867" i="3"/>
  <c r="M868" i="3"/>
  <c r="M869" i="3"/>
  <c r="M870" i="3"/>
  <c r="M871" i="3"/>
  <c r="Q871" i="3" s="1"/>
  <c r="M872" i="3"/>
  <c r="M873" i="3"/>
  <c r="M874" i="3"/>
  <c r="M875" i="3"/>
  <c r="M876" i="3"/>
  <c r="M877" i="3"/>
  <c r="M878" i="3"/>
  <c r="M879" i="3"/>
  <c r="M880" i="3"/>
  <c r="M881" i="3"/>
  <c r="M882" i="3"/>
  <c r="M883" i="3"/>
  <c r="Q883" i="3" s="1"/>
  <c r="M884" i="3"/>
  <c r="M885" i="3"/>
  <c r="M886" i="3"/>
  <c r="M887" i="3"/>
  <c r="M888" i="3"/>
  <c r="M889" i="3"/>
  <c r="M890" i="3"/>
  <c r="M891" i="3"/>
  <c r="M892" i="3"/>
  <c r="M893" i="3"/>
  <c r="M894" i="3"/>
  <c r="M895" i="3"/>
  <c r="Q895" i="3" s="1"/>
  <c r="M896" i="3"/>
  <c r="M897" i="3"/>
  <c r="M898" i="3"/>
  <c r="M899" i="3"/>
  <c r="M900" i="3"/>
  <c r="M901" i="3"/>
  <c r="M902" i="3"/>
  <c r="M903" i="3"/>
  <c r="M904" i="3"/>
  <c r="M905" i="3"/>
  <c r="M906" i="3"/>
  <c r="M907" i="3"/>
  <c r="Q907" i="3" s="1"/>
  <c r="M908" i="3"/>
  <c r="M909" i="3"/>
  <c r="M910" i="3"/>
  <c r="M911" i="3"/>
  <c r="M912" i="3"/>
  <c r="M913" i="3"/>
  <c r="M914" i="3"/>
  <c r="M915" i="3"/>
  <c r="M916" i="3"/>
  <c r="M917" i="3"/>
  <c r="M918" i="3"/>
  <c r="M919" i="3"/>
  <c r="Q919" i="3" s="1"/>
  <c r="M920" i="3"/>
  <c r="M921" i="3"/>
  <c r="M922" i="3"/>
  <c r="M923" i="3"/>
  <c r="M924" i="3"/>
  <c r="M925" i="3"/>
  <c r="M926" i="3"/>
  <c r="M927" i="3"/>
  <c r="M928" i="3"/>
  <c r="M929" i="3"/>
  <c r="M930" i="3"/>
  <c r="M931" i="3"/>
  <c r="Q931" i="3" s="1"/>
  <c r="M932" i="3"/>
  <c r="M933" i="3"/>
  <c r="M934" i="3"/>
  <c r="M935" i="3"/>
  <c r="M936" i="3"/>
  <c r="M937" i="3"/>
  <c r="M938" i="3"/>
  <c r="M939" i="3"/>
  <c r="M940" i="3"/>
  <c r="M941" i="3"/>
  <c r="M942" i="3"/>
  <c r="M943" i="3"/>
  <c r="Q943" i="3" s="1"/>
  <c r="M944" i="3"/>
  <c r="M945" i="3"/>
  <c r="M946" i="3"/>
  <c r="M947" i="3"/>
  <c r="M948" i="3"/>
  <c r="M949" i="3"/>
  <c r="M950" i="3"/>
  <c r="M951" i="3"/>
  <c r="M952" i="3"/>
  <c r="M953" i="3"/>
  <c r="M954" i="3"/>
  <c r="M955" i="3"/>
  <c r="Q955" i="3" s="1"/>
  <c r="M956" i="3"/>
  <c r="Q956" i="3" s="1"/>
  <c r="M957" i="3"/>
  <c r="M958" i="3"/>
  <c r="M959" i="3"/>
  <c r="M960" i="3"/>
  <c r="M961" i="3"/>
  <c r="M962" i="3"/>
  <c r="M963" i="3"/>
  <c r="M964" i="3"/>
  <c r="M965" i="3"/>
  <c r="M966" i="3"/>
  <c r="M967" i="3"/>
  <c r="Q967" i="3" s="1"/>
  <c r="M968" i="3"/>
  <c r="M969" i="3"/>
  <c r="M970" i="3"/>
  <c r="M971" i="3"/>
  <c r="M972" i="3"/>
  <c r="M973" i="3"/>
  <c r="M974" i="3"/>
  <c r="M975" i="3"/>
  <c r="M976" i="3"/>
  <c r="M977" i="3"/>
  <c r="M978" i="3"/>
  <c r="M979" i="3"/>
  <c r="Q979" i="3" s="1"/>
  <c r="M980" i="3"/>
  <c r="M981" i="3"/>
  <c r="M982" i="3"/>
  <c r="M983" i="3"/>
  <c r="M984" i="3"/>
  <c r="M985" i="3"/>
  <c r="M986" i="3"/>
  <c r="M987" i="3"/>
  <c r="M988" i="3"/>
  <c r="M989" i="3"/>
  <c r="M990" i="3"/>
  <c r="M991" i="3"/>
  <c r="Q991" i="3" s="1"/>
  <c r="M992" i="3"/>
  <c r="M993" i="3"/>
  <c r="M994" i="3"/>
  <c r="M995" i="3"/>
  <c r="M996" i="3"/>
  <c r="M997" i="3"/>
  <c r="M998" i="3"/>
  <c r="M999" i="3"/>
  <c r="M1000" i="3"/>
  <c r="M1001" i="3"/>
  <c r="L2" i="3"/>
  <c r="Q2" i="3" s="1"/>
  <c r="L3" i="3"/>
  <c r="Q3" i="3" s="1"/>
  <c r="L4" i="3"/>
  <c r="Q4" i="3" s="1"/>
  <c r="L5" i="3"/>
  <c r="L6" i="3"/>
  <c r="L7" i="3"/>
  <c r="L8" i="3"/>
  <c r="L9" i="3"/>
  <c r="L10" i="3"/>
  <c r="L11" i="3"/>
  <c r="L12" i="3"/>
  <c r="L13" i="3"/>
  <c r="L14" i="3"/>
  <c r="Q14" i="3" s="1"/>
  <c r="L15" i="3"/>
  <c r="Q15" i="3" s="1"/>
  <c r="L16" i="3"/>
  <c r="Q16" i="3" s="1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Q283" i="3" s="1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Q422" i="3" s="1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Q566" i="3" s="1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Q45" i="3" s="1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Q93" i="3" s="1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Q141" i="3" s="1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Q189" i="3" s="1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Q237" i="3" s="1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Q285" i="3" s="1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Q333" i="3" s="1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Q381" i="3" s="1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Q429" i="3" s="1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Q477" i="3" s="1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Q525" i="3" s="1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Q573" i="3" s="1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Q621" i="3" s="1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Q669" i="3" s="1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Q717" i="3" s="1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Q765" i="3" s="1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Q813" i="3" s="1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Q861" i="3" s="1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Q909" i="3" s="1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Q957" i="3" s="1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Q988" i="3" l="1"/>
  <c r="Q964" i="3"/>
  <c r="Q940" i="3"/>
  <c r="Q916" i="3"/>
  <c r="Q892" i="3"/>
  <c r="Q868" i="3"/>
  <c r="Q844" i="3"/>
  <c r="Q820" i="3"/>
  <c r="Q808" i="3"/>
  <c r="Q784" i="3"/>
  <c r="Q760" i="3"/>
  <c r="Q736" i="3"/>
  <c r="Q724" i="3"/>
  <c r="Q688" i="3"/>
  <c r="Q664" i="3"/>
  <c r="Q640" i="3"/>
  <c r="Q616" i="3"/>
  <c r="Q592" i="3"/>
  <c r="Q580" i="3"/>
  <c r="Q556" i="3"/>
  <c r="Q532" i="3"/>
  <c r="Q496" i="3"/>
  <c r="Q484" i="3"/>
  <c r="Q460" i="3"/>
  <c r="Q436" i="3"/>
  <c r="Q412" i="3"/>
  <c r="Q388" i="3"/>
  <c r="Q364" i="3"/>
  <c r="Q340" i="3"/>
  <c r="Q328" i="3"/>
  <c r="Q304" i="3"/>
  <c r="Q280" i="3"/>
  <c r="Q244" i="3"/>
  <c r="Q220" i="3"/>
  <c r="Q196" i="3"/>
  <c r="Q184" i="3"/>
  <c r="Q160" i="3"/>
  <c r="Q136" i="3"/>
  <c r="Q112" i="3"/>
  <c r="Q76" i="3"/>
  <c r="Q52" i="3"/>
  <c r="Q28" i="3"/>
  <c r="Q999" i="3"/>
  <c r="Q975" i="3"/>
  <c r="Q963" i="3"/>
  <c r="Q927" i="3"/>
  <c r="Q903" i="3"/>
  <c r="Q879" i="3"/>
  <c r="Q855" i="3"/>
  <c r="Q819" i="3"/>
  <c r="Q795" i="3"/>
  <c r="Q771" i="3"/>
  <c r="Q747" i="3"/>
  <c r="Q723" i="3"/>
  <c r="Q699" i="3"/>
  <c r="Q675" i="3"/>
  <c r="Q651" i="3"/>
  <c r="Q627" i="3"/>
  <c r="Q615" i="3"/>
  <c r="Q591" i="3"/>
  <c r="Q567" i="3"/>
  <c r="Q543" i="3"/>
  <c r="Q507" i="3"/>
  <c r="Q483" i="3"/>
  <c r="Q459" i="3"/>
  <c r="Q435" i="3"/>
  <c r="Q1000" i="3"/>
  <c r="Q976" i="3"/>
  <c r="Q952" i="3"/>
  <c r="Q928" i="3"/>
  <c r="Q904" i="3"/>
  <c r="Q880" i="3"/>
  <c r="Q856" i="3"/>
  <c r="Q832" i="3"/>
  <c r="Q796" i="3"/>
  <c r="Q772" i="3"/>
  <c r="Q748" i="3"/>
  <c r="Q712" i="3"/>
  <c r="Q700" i="3"/>
  <c r="Q676" i="3"/>
  <c r="Q652" i="3"/>
  <c r="Q628" i="3"/>
  <c r="Q604" i="3"/>
  <c r="Q568" i="3"/>
  <c r="Q544" i="3"/>
  <c r="Q520" i="3"/>
  <c r="Q508" i="3"/>
  <c r="Q472" i="3"/>
  <c r="Q448" i="3"/>
  <c r="Q424" i="3"/>
  <c r="Q400" i="3"/>
  <c r="Q376" i="3"/>
  <c r="Q352" i="3"/>
  <c r="Q316" i="3"/>
  <c r="Q292" i="3"/>
  <c r="Q268" i="3"/>
  <c r="Q256" i="3"/>
  <c r="Q232" i="3"/>
  <c r="Q208" i="3"/>
  <c r="Q172" i="3"/>
  <c r="Q148" i="3"/>
  <c r="Q124" i="3"/>
  <c r="Q100" i="3"/>
  <c r="Q88" i="3"/>
  <c r="Q64" i="3"/>
  <c r="Q40" i="3"/>
  <c r="Q987" i="3"/>
  <c r="Q951" i="3"/>
  <c r="Q939" i="3"/>
  <c r="Q915" i="3"/>
  <c r="Q891" i="3"/>
  <c r="Q867" i="3"/>
  <c r="Q843" i="3"/>
  <c r="Q831" i="3"/>
  <c r="Q807" i="3"/>
  <c r="Q783" i="3"/>
  <c r="Q759" i="3"/>
  <c r="Q735" i="3"/>
  <c r="Q711" i="3"/>
  <c r="Q687" i="3"/>
  <c r="Q663" i="3"/>
  <c r="Q639" i="3"/>
  <c r="Q603" i="3"/>
  <c r="Q579" i="3"/>
  <c r="Q555" i="3"/>
  <c r="Q531" i="3"/>
  <c r="Q519" i="3"/>
  <c r="Q495" i="3"/>
  <c r="Q471" i="3"/>
  <c r="Q447" i="3"/>
  <c r="Q423" i="3"/>
  <c r="Q411" i="3"/>
  <c r="Q399" i="3"/>
  <c r="Q363" i="3"/>
  <c r="Q327" i="3"/>
  <c r="Q291" i="3"/>
  <c r="Q255" i="3"/>
  <c r="Q231" i="3"/>
  <c r="Q195" i="3"/>
  <c r="Q159" i="3"/>
  <c r="Q123" i="3"/>
  <c r="Q99" i="3"/>
  <c r="Q63" i="3"/>
  <c r="Q39" i="3"/>
  <c r="Q986" i="3"/>
  <c r="Q974" i="3"/>
  <c r="Q926" i="3"/>
  <c r="Q914" i="3"/>
  <c r="Q866" i="3"/>
  <c r="Q830" i="3"/>
  <c r="Q794" i="3"/>
  <c r="Q770" i="3"/>
  <c r="Q734" i="3"/>
  <c r="Q710" i="3"/>
  <c r="Q674" i="3"/>
  <c r="Q638" i="3"/>
  <c r="Q626" i="3"/>
  <c r="Q590" i="3"/>
  <c r="Q554" i="3"/>
  <c r="Q506" i="3"/>
  <c r="Q470" i="3"/>
  <c r="Q434" i="3"/>
  <c r="Q410" i="3"/>
  <c r="Q374" i="3"/>
  <c r="Q338" i="3"/>
  <c r="Q314" i="3"/>
  <c r="Q278" i="3"/>
  <c r="Q254" i="3"/>
  <c r="Q206" i="3"/>
  <c r="Q170" i="3"/>
  <c r="Q134" i="3"/>
  <c r="Q98" i="3"/>
  <c r="Q62" i="3"/>
  <c r="Q38" i="3"/>
  <c r="Q973" i="3"/>
  <c r="Q949" i="3"/>
  <c r="Q913" i="3"/>
  <c r="Q877" i="3"/>
  <c r="Q841" i="3"/>
  <c r="Q817" i="3"/>
  <c r="Q781" i="3"/>
  <c r="Q745" i="3"/>
  <c r="Q709" i="3"/>
  <c r="Q673" i="3"/>
  <c r="Q637" i="3"/>
  <c r="Q601" i="3"/>
  <c r="Q565" i="3"/>
  <c r="Q529" i="3"/>
  <c r="Q505" i="3"/>
  <c r="Q469" i="3"/>
  <c r="Q433" i="3"/>
  <c r="Q409" i="3"/>
  <c r="Q385" i="3"/>
  <c r="Q349" i="3"/>
  <c r="Q313" i="3"/>
  <c r="Q289" i="3"/>
  <c r="Q253" i="3"/>
  <c r="Q229" i="3"/>
  <c r="Q193" i="3"/>
  <c r="Q169" i="3"/>
  <c r="Q133" i="3"/>
  <c r="Q97" i="3"/>
  <c r="Q61" i="3"/>
  <c r="Q37" i="3"/>
  <c r="Q860" i="3"/>
  <c r="Q716" i="3"/>
  <c r="Q668" i="3"/>
  <c r="Q476" i="3"/>
  <c r="Q380" i="3"/>
  <c r="Q332" i="3"/>
  <c r="Q236" i="3"/>
  <c r="Q188" i="3"/>
  <c r="Q92" i="3"/>
  <c r="Q187" i="3"/>
  <c r="Q91" i="3"/>
  <c r="Q43" i="3"/>
  <c r="Q387" i="3"/>
  <c r="Q351" i="3"/>
  <c r="Q315" i="3"/>
  <c r="Q267" i="3"/>
  <c r="Q219" i="3"/>
  <c r="Q171" i="3"/>
  <c r="Q135" i="3"/>
  <c r="Q87" i="3"/>
  <c r="Q27" i="3"/>
  <c r="Q998" i="3"/>
  <c r="Q950" i="3"/>
  <c r="Q902" i="3"/>
  <c r="Q854" i="3"/>
  <c r="Q818" i="3"/>
  <c r="Q782" i="3"/>
  <c r="Q746" i="3"/>
  <c r="Q698" i="3"/>
  <c r="Q650" i="3"/>
  <c r="Q602" i="3"/>
  <c r="Q530" i="3"/>
  <c r="Q482" i="3"/>
  <c r="Q446" i="3"/>
  <c r="Q398" i="3"/>
  <c r="Q362" i="3"/>
  <c r="Q326" i="3"/>
  <c r="Q290" i="3"/>
  <c r="Q230" i="3"/>
  <c r="Q194" i="3"/>
  <c r="Q158" i="3"/>
  <c r="Q122" i="3"/>
  <c r="Q86" i="3"/>
  <c r="Q13" i="3"/>
  <c r="Q985" i="3"/>
  <c r="Q937" i="3"/>
  <c r="Q889" i="3"/>
  <c r="Q853" i="3"/>
  <c r="Q793" i="3"/>
  <c r="Q757" i="3"/>
  <c r="Q721" i="3"/>
  <c r="Q661" i="3"/>
  <c r="Q625" i="3"/>
  <c r="Q589" i="3"/>
  <c r="Q541" i="3"/>
  <c r="Q493" i="3"/>
  <c r="Q457" i="3"/>
  <c r="Q397" i="3"/>
  <c r="Q361" i="3"/>
  <c r="Q325" i="3"/>
  <c r="Q277" i="3"/>
  <c r="Q217" i="3"/>
  <c r="Q181" i="3"/>
  <c r="Q145" i="3"/>
  <c r="Q85" i="3"/>
  <c r="Q25" i="3"/>
  <c r="Q908" i="3"/>
  <c r="Q812" i="3"/>
  <c r="Q764" i="3"/>
  <c r="Q620" i="3"/>
  <c r="Q572" i="3"/>
  <c r="Q428" i="3"/>
  <c r="Q284" i="3"/>
  <c r="Q140" i="3"/>
  <c r="Q375" i="3"/>
  <c r="Q339" i="3"/>
  <c r="Q303" i="3"/>
  <c r="Q279" i="3"/>
  <c r="Q243" i="3"/>
  <c r="Q207" i="3"/>
  <c r="Q183" i="3"/>
  <c r="Q147" i="3"/>
  <c r="Q111" i="3"/>
  <c r="Q75" i="3"/>
  <c r="Q51" i="3"/>
  <c r="Q962" i="3"/>
  <c r="Q938" i="3"/>
  <c r="Q890" i="3"/>
  <c r="Q878" i="3"/>
  <c r="Q842" i="3"/>
  <c r="Q806" i="3"/>
  <c r="Q758" i="3"/>
  <c r="Q722" i="3"/>
  <c r="Q686" i="3"/>
  <c r="Q662" i="3"/>
  <c r="Q614" i="3"/>
  <c r="Q578" i="3"/>
  <c r="Q542" i="3"/>
  <c r="Q518" i="3"/>
  <c r="Q494" i="3"/>
  <c r="Q458" i="3"/>
  <c r="Q386" i="3"/>
  <c r="Q350" i="3"/>
  <c r="Q302" i="3"/>
  <c r="Q266" i="3"/>
  <c r="Q242" i="3"/>
  <c r="Q218" i="3"/>
  <c r="Q182" i="3"/>
  <c r="Q146" i="3"/>
  <c r="Q110" i="3"/>
  <c r="Q74" i="3"/>
  <c r="Q50" i="3"/>
  <c r="Q26" i="3"/>
  <c r="Q997" i="3"/>
  <c r="Q961" i="3"/>
  <c r="Q925" i="3"/>
  <c r="Q901" i="3"/>
  <c r="Q865" i="3"/>
  <c r="Q829" i="3"/>
  <c r="Q805" i="3"/>
  <c r="Q769" i="3"/>
  <c r="Q733" i="3"/>
  <c r="Q697" i="3"/>
  <c r="Q685" i="3"/>
  <c r="Q649" i="3"/>
  <c r="Q613" i="3"/>
  <c r="Q577" i="3"/>
  <c r="Q553" i="3"/>
  <c r="Q517" i="3"/>
  <c r="Q481" i="3"/>
  <c r="Q445" i="3"/>
  <c r="Q421" i="3"/>
  <c r="Q373" i="3"/>
  <c r="Q337" i="3"/>
  <c r="Q301" i="3"/>
  <c r="Q265" i="3"/>
  <c r="Q241" i="3"/>
  <c r="Q205" i="3"/>
  <c r="Q157" i="3"/>
  <c r="Q121" i="3"/>
  <c r="Q109" i="3"/>
  <c r="Q73" i="3"/>
  <c r="Q49" i="3"/>
  <c r="Q524" i="3"/>
  <c r="Q44" i="3"/>
  <c r="Q996" i="3"/>
  <c r="Q972" i="3"/>
  <c r="Q948" i="3"/>
  <c r="Q924" i="3"/>
  <c r="Q900" i="3"/>
  <c r="Q876" i="3"/>
  <c r="Q852" i="3"/>
  <c r="Q828" i="3"/>
  <c r="Q804" i="3"/>
  <c r="Q780" i="3"/>
  <c r="Q756" i="3"/>
  <c r="Q744" i="3"/>
  <c r="Q720" i="3"/>
  <c r="Q696" i="3"/>
  <c r="Q660" i="3"/>
  <c r="Q648" i="3"/>
  <c r="Q624" i="3"/>
  <c r="Q600" i="3"/>
  <c r="Q564" i="3"/>
  <c r="Q540" i="3"/>
  <c r="Q516" i="3"/>
  <c r="Q492" i="3"/>
  <c r="Q468" i="3"/>
  <c r="Q444" i="3"/>
  <c r="Q420" i="3"/>
  <c r="Q336" i="3"/>
  <c r="Q312" i="3"/>
  <c r="Q984" i="3"/>
  <c r="Q960" i="3"/>
  <c r="Q936" i="3"/>
  <c r="Q912" i="3"/>
  <c r="Q888" i="3"/>
  <c r="Q864" i="3"/>
  <c r="Q840" i="3"/>
  <c r="Q816" i="3"/>
  <c r="Q792" i="3"/>
  <c r="Q768" i="3"/>
  <c r="Q732" i="3"/>
  <c r="Q708" i="3"/>
  <c r="Q684" i="3"/>
  <c r="Q672" i="3"/>
  <c r="Q636" i="3"/>
  <c r="Q612" i="3"/>
  <c r="Q588" i="3"/>
  <c r="Q576" i="3"/>
  <c r="Q552" i="3"/>
  <c r="Q528" i="3"/>
  <c r="Q504" i="3"/>
  <c r="Q480" i="3"/>
  <c r="Q456" i="3"/>
  <c r="Q432" i="3"/>
  <c r="Q408" i="3"/>
  <c r="Q396" i="3"/>
  <c r="Q384" i="3"/>
  <c r="Q372" i="3"/>
  <c r="Q360" i="3"/>
  <c r="Q348" i="3"/>
  <c r="Q324" i="3"/>
  <c r="Q12" i="3"/>
  <c r="Q982" i="3"/>
  <c r="Q934" i="3"/>
  <c r="Q886" i="3"/>
  <c r="Q838" i="3"/>
  <c r="Q790" i="3"/>
  <c r="Q742" i="3"/>
  <c r="Q694" i="3"/>
  <c r="Q646" i="3"/>
  <c r="Q598" i="3"/>
  <c r="Q550" i="3"/>
  <c r="Q502" i="3"/>
  <c r="Q454" i="3"/>
  <c r="Q406" i="3"/>
  <c r="Q358" i="3"/>
  <c r="Q310" i="3"/>
  <c r="Q262" i="3"/>
  <c r="Q214" i="3"/>
  <c r="Q166" i="3"/>
  <c r="Q118" i="3"/>
  <c r="Q70" i="3"/>
  <c r="Q22" i="3"/>
  <c r="Q981" i="3"/>
  <c r="Q933" i="3"/>
  <c r="Q885" i="3"/>
  <c r="Q837" i="3"/>
  <c r="Q789" i="3"/>
  <c r="Q741" i="3"/>
  <c r="Q693" i="3"/>
  <c r="Q645" i="3"/>
  <c r="Q597" i="3"/>
  <c r="Q549" i="3"/>
  <c r="Q501" i="3"/>
  <c r="Q453" i="3"/>
  <c r="Q405" i="3"/>
  <c r="Q357" i="3"/>
  <c r="Q309" i="3"/>
  <c r="Q261" i="3"/>
  <c r="Q213" i="3"/>
  <c r="Q165" i="3"/>
  <c r="Q117" i="3"/>
  <c r="Q69" i="3"/>
  <c r="Q21" i="3"/>
  <c r="Q276" i="3"/>
  <c r="Q240" i="3"/>
  <c r="Q204" i="3"/>
  <c r="Q168" i="3"/>
  <c r="Q132" i="3"/>
  <c r="Q84" i="3"/>
  <c r="Q60" i="3"/>
  <c r="Q11" i="3"/>
  <c r="Q995" i="3"/>
  <c r="Q983" i="3"/>
  <c r="Q959" i="3"/>
  <c r="Q935" i="3"/>
  <c r="Q899" i="3"/>
  <c r="Q875" i="3"/>
  <c r="Q851" i="3"/>
  <c r="Q827" i="3"/>
  <c r="Q803" i="3"/>
  <c r="Q779" i="3"/>
  <c r="Q755" i="3"/>
  <c r="Q731" i="3"/>
  <c r="Q707" i="3"/>
  <c r="Q683" i="3"/>
  <c r="Q647" i="3"/>
  <c r="Q623" i="3"/>
  <c r="Q599" i="3"/>
  <c r="Q575" i="3"/>
  <c r="Q551" i="3"/>
  <c r="Q515" i="3"/>
  <c r="Q491" i="3"/>
  <c r="Q467" i="3"/>
  <c r="Q443" i="3"/>
  <c r="Q407" i="3"/>
  <c r="Q395" i="3"/>
  <c r="Q371" i="3"/>
  <c r="Q347" i="3"/>
  <c r="Q323" i="3"/>
  <c r="Q299" i="3"/>
  <c r="Q275" i="3"/>
  <c r="Q251" i="3"/>
  <c r="Q227" i="3"/>
  <c r="Q203" i="3"/>
  <c r="Q179" i="3"/>
  <c r="Q155" i="3"/>
  <c r="Q131" i="3"/>
  <c r="Q107" i="3"/>
  <c r="Q95" i="3"/>
  <c r="Q59" i="3"/>
  <c r="Q23" i="3"/>
  <c r="Q958" i="3"/>
  <c r="Q862" i="3"/>
  <c r="Q766" i="3"/>
  <c r="Q670" i="3"/>
  <c r="Q574" i="3"/>
  <c r="Q478" i="3"/>
  <c r="Q334" i="3"/>
  <c r="Q286" i="3"/>
  <c r="Q190" i="3"/>
  <c r="Q46" i="3"/>
  <c r="Q288" i="3"/>
  <c r="Q252" i="3"/>
  <c r="Q228" i="3"/>
  <c r="Q192" i="3"/>
  <c r="Q156" i="3"/>
  <c r="Q120" i="3"/>
  <c r="Q96" i="3"/>
  <c r="Q72" i="3"/>
  <c r="Q36" i="3"/>
  <c r="Q971" i="3"/>
  <c r="Q947" i="3"/>
  <c r="Q923" i="3"/>
  <c r="Q911" i="3"/>
  <c r="Q887" i="3"/>
  <c r="Q863" i="3"/>
  <c r="Q839" i="3"/>
  <c r="Q815" i="3"/>
  <c r="Q791" i="3"/>
  <c r="Q767" i="3"/>
  <c r="Q743" i="3"/>
  <c r="Q719" i="3"/>
  <c r="Q695" i="3"/>
  <c r="Q671" i="3"/>
  <c r="Q659" i="3"/>
  <c r="Q635" i="3"/>
  <c r="Q611" i="3"/>
  <c r="Q587" i="3"/>
  <c r="Q563" i="3"/>
  <c r="Q539" i="3"/>
  <c r="Q527" i="3"/>
  <c r="Q503" i="3"/>
  <c r="Q479" i="3"/>
  <c r="Q455" i="3"/>
  <c r="Q431" i="3"/>
  <c r="Q419" i="3"/>
  <c r="Q383" i="3"/>
  <c r="Q359" i="3"/>
  <c r="Q335" i="3"/>
  <c r="Q311" i="3"/>
  <c r="Q287" i="3"/>
  <c r="Q263" i="3"/>
  <c r="Q239" i="3"/>
  <c r="Q215" i="3"/>
  <c r="Q191" i="3"/>
  <c r="Q167" i="3"/>
  <c r="Q143" i="3"/>
  <c r="Q119" i="3"/>
  <c r="Q83" i="3"/>
  <c r="Q71" i="3"/>
  <c r="Q47" i="3"/>
  <c r="Q35" i="3"/>
  <c r="Q910" i="3"/>
  <c r="Q814" i="3"/>
  <c r="Q718" i="3"/>
  <c r="Q622" i="3"/>
  <c r="Q526" i="3"/>
  <c r="Q430" i="3"/>
  <c r="Q382" i="3"/>
  <c r="Q238" i="3"/>
  <c r="Q142" i="3"/>
  <c r="Q94" i="3"/>
  <c r="Q300" i="3"/>
  <c r="Q264" i="3"/>
  <c r="Q216" i="3"/>
  <c r="Q180" i="3"/>
  <c r="Q144" i="3"/>
  <c r="Q108" i="3"/>
  <c r="Q48" i="3"/>
  <c r="Q24" i="3"/>
  <c r="Q1001" i="3"/>
  <c r="Q989" i="3"/>
  <c r="Q977" i="3"/>
  <c r="Q965" i="3"/>
  <c r="Q953" i="3"/>
  <c r="Q941" i="3"/>
  <c r="Q929" i="3"/>
  <c r="Q917" i="3"/>
  <c r="Q905" i="3"/>
  <c r="Q893" i="3"/>
  <c r="Q881" i="3"/>
  <c r="Q869" i="3"/>
  <c r="Q857" i="3"/>
  <c r="Q845" i="3"/>
  <c r="Q833" i="3"/>
  <c r="Q821" i="3"/>
  <c r="Q809" i="3"/>
  <c r="Q797" i="3"/>
  <c r="Q785" i="3"/>
  <c r="Q773" i="3"/>
  <c r="Q761" i="3"/>
  <c r="Q749" i="3"/>
  <c r="Q737" i="3"/>
  <c r="Q725" i="3"/>
  <c r="Q713" i="3"/>
  <c r="Q701" i="3"/>
  <c r="Q689" i="3"/>
  <c r="Q677" i="3"/>
  <c r="Q665" i="3"/>
  <c r="Q653" i="3"/>
  <c r="Q641" i="3"/>
  <c r="Q629" i="3"/>
  <c r="Q617" i="3"/>
  <c r="Q605" i="3"/>
  <c r="Q593" i="3"/>
  <c r="Q581" i="3"/>
  <c r="Q569" i="3"/>
  <c r="Q557" i="3"/>
  <c r="Q545" i="3"/>
  <c r="Q533" i="3"/>
  <c r="Q521" i="3"/>
  <c r="Q509" i="3"/>
  <c r="Q497" i="3"/>
  <c r="Q485" i="3"/>
  <c r="Q473" i="3"/>
  <c r="Q461" i="3"/>
  <c r="Q449" i="3"/>
  <c r="Q437" i="3"/>
  <c r="Q425" i="3"/>
  <c r="Q413" i="3"/>
  <c r="Q401" i="3"/>
  <c r="Q389" i="3"/>
  <c r="Q377" i="3"/>
  <c r="Q365" i="3"/>
  <c r="Q353" i="3"/>
  <c r="Q341" i="3"/>
  <c r="Q329" i="3"/>
  <c r="Q317" i="3"/>
  <c r="Q305" i="3"/>
  <c r="Q293" i="3"/>
  <c r="Q281" i="3"/>
  <c r="Q269" i="3"/>
  <c r="Q257" i="3"/>
  <c r="Q245" i="3"/>
  <c r="Q233" i="3"/>
  <c r="Q221" i="3"/>
  <c r="Q209" i="3"/>
  <c r="Q197" i="3"/>
  <c r="Q185" i="3"/>
  <c r="Q173" i="3"/>
  <c r="Q161" i="3"/>
  <c r="Q149" i="3"/>
  <c r="Q137" i="3"/>
  <c r="Q125" i="3"/>
  <c r="Q113" i="3"/>
  <c r="Q101" i="3"/>
  <c r="Q89" i="3"/>
  <c r="Q77" i="3"/>
  <c r="Q65" i="3"/>
  <c r="Q53" i="3"/>
  <c r="Q41" i="3"/>
  <c r="Q29" i="3"/>
  <c r="Q992" i="3"/>
  <c r="Q980" i="3"/>
  <c r="Q968" i="3"/>
  <c r="Q944" i="3"/>
  <c r="Q932" i="3"/>
  <c r="Q920" i="3"/>
  <c r="Q884" i="3"/>
  <c r="Q836" i="3"/>
  <c r="Q788" i="3"/>
  <c r="Q740" i="3"/>
  <c r="Q692" i="3"/>
  <c r="Q644" i="3"/>
  <c r="Q596" i="3"/>
  <c r="Q548" i="3"/>
  <c r="Q500" i="3"/>
  <c r="Q452" i="3"/>
  <c r="Q404" i="3"/>
  <c r="Q356" i="3"/>
  <c r="Q308" i="3"/>
  <c r="Q260" i="3"/>
  <c r="Q212" i="3"/>
  <c r="Q164" i="3"/>
  <c r="Q116" i="3"/>
  <c r="Q68" i="3"/>
  <c r="Q20" i="3"/>
  <c r="Q271" i="3"/>
  <c r="Q259" i="3"/>
  <c r="Q247" i="3"/>
  <c r="Q211" i="3"/>
  <c r="Q163" i="3"/>
  <c r="Q115" i="3"/>
  <c r="Q67" i="3"/>
  <c r="Q19" i="3"/>
  <c r="Q970" i="3"/>
  <c r="Q922" i="3"/>
  <c r="Q826" i="3"/>
  <c r="Q778" i="3"/>
  <c r="Q706" i="3"/>
  <c r="Q562" i="3"/>
  <c r="Q394" i="3"/>
  <c r="Q322" i="3"/>
  <c r="Q226" i="3"/>
  <c r="Q178" i="3"/>
  <c r="Q130" i="3"/>
  <c r="Q82" i="3"/>
  <c r="Q34" i="3"/>
  <c r="Q921" i="3"/>
  <c r="Q873" i="3"/>
  <c r="Q801" i="3"/>
  <c r="Q753" i="3"/>
  <c r="Q705" i="3"/>
  <c r="Q633" i="3"/>
  <c r="Q465" i="3"/>
  <c r="Q201" i="3"/>
  <c r="Q129" i="3"/>
  <c r="Q81" i="3"/>
  <c r="Q17" i="3"/>
  <c r="Q898" i="3"/>
  <c r="Q850" i="3"/>
  <c r="Q802" i="3"/>
  <c r="Q658" i="3"/>
  <c r="Q610" i="3"/>
  <c r="Q514" i="3"/>
  <c r="Q466" i="3"/>
  <c r="Q418" i="3"/>
  <c r="Q274" i="3"/>
  <c r="Q58" i="3"/>
  <c r="Q969" i="3"/>
  <c r="Q849" i="3"/>
  <c r="Q681" i="3"/>
  <c r="Q585" i="3"/>
  <c r="Q537" i="3"/>
  <c r="Q513" i="3"/>
  <c r="Q417" i="3"/>
  <c r="Q393" i="3"/>
  <c r="Q273" i="3"/>
  <c r="Q225" i="3"/>
  <c r="Q153" i="3"/>
  <c r="Q57" i="3"/>
  <c r="Q994" i="3"/>
  <c r="Q874" i="3"/>
  <c r="Q730" i="3"/>
  <c r="Q538" i="3"/>
  <c r="Q490" i="3"/>
  <c r="Q442" i="3"/>
  <c r="Q370" i="3"/>
  <c r="Q298" i="3"/>
  <c r="Q202" i="3"/>
  <c r="Q9" i="3"/>
  <c r="Q993" i="3"/>
  <c r="Q945" i="3"/>
  <c r="Q897" i="3"/>
  <c r="Q825" i="3"/>
  <c r="Q777" i="3"/>
  <c r="Q729" i="3"/>
  <c r="Q657" i="3"/>
  <c r="Q609" i="3"/>
  <c r="Q561" i="3"/>
  <c r="Q489" i="3"/>
  <c r="Q441" i="3"/>
  <c r="Q369" i="3"/>
  <c r="Q10" i="3"/>
  <c r="Q946" i="3"/>
  <c r="Q754" i="3"/>
  <c r="Q682" i="3"/>
  <c r="Q634" i="3"/>
  <c r="Q586" i="3"/>
  <c r="Q346" i="3"/>
  <c r="Q250" i="3"/>
  <c r="Q154" i="3"/>
  <c r="Q106" i="3"/>
  <c r="Q345" i="3"/>
  <c r="Q321" i="3"/>
  <c r="Q297" i="3"/>
  <c r="Q249" i="3"/>
  <c r="Q177" i="3"/>
  <c r="Q105" i="3"/>
  <c r="Q33" i="3"/>
  <c r="Q990" i="3"/>
  <c r="Q978" i="3"/>
  <c r="Q966" i="3"/>
  <c r="Q954" i="3"/>
  <c r="Q942" i="3"/>
  <c r="Q930" i="3"/>
  <c r="Q918" i="3"/>
  <c r="Q906" i="3"/>
  <c r="Q894" i="3"/>
  <c r="Q882" i="3"/>
  <c r="Q870" i="3"/>
  <c r="Q858" i="3"/>
  <c r="Q846" i="3"/>
  <c r="Q834" i="3"/>
  <c r="Q822" i="3"/>
  <c r="Q810" i="3"/>
  <c r="Q798" i="3"/>
  <c r="Q786" i="3"/>
  <c r="Q774" i="3"/>
  <c r="Q762" i="3"/>
  <c r="Q750" i="3"/>
  <c r="Q738" i="3"/>
  <c r="Q726" i="3"/>
  <c r="Q714" i="3"/>
  <c r="Q702" i="3"/>
  <c r="Q690" i="3"/>
  <c r="Q678" i="3"/>
  <c r="Q666" i="3"/>
  <c r="Q654" i="3"/>
  <c r="Q642" i="3"/>
  <c r="Q630" i="3"/>
  <c r="Q618" i="3"/>
  <c r="Q606" i="3"/>
  <c r="Q594" i="3"/>
  <c r="Q582" i="3"/>
  <c r="Q570" i="3"/>
  <c r="Q558" i="3"/>
  <c r="Q546" i="3"/>
  <c r="Q534" i="3"/>
  <c r="Q522" i="3"/>
  <c r="Q896" i="3"/>
  <c r="Q872" i="3"/>
  <c r="Q848" i="3"/>
  <c r="Q824" i="3"/>
  <c r="Q800" i="3"/>
  <c r="Q776" i="3"/>
  <c r="Q752" i="3"/>
  <c r="Q728" i="3"/>
  <c r="Q704" i="3"/>
  <c r="Q680" i="3"/>
  <c r="Q656" i="3"/>
  <c r="Q632" i="3"/>
  <c r="Q608" i="3"/>
  <c r="Q584" i="3"/>
  <c r="Q560" i="3"/>
  <c r="Q536" i="3"/>
  <c r="Q512" i="3"/>
  <c r="Q488" i="3"/>
  <c r="Q464" i="3"/>
  <c r="Q440" i="3"/>
  <c r="Q416" i="3"/>
  <c r="Q392" i="3"/>
  <c r="Q368" i="3"/>
  <c r="Q344" i="3"/>
  <c r="Q320" i="3"/>
  <c r="Q296" i="3"/>
  <c r="Q272" i="3"/>
  <c r="Q248" i="3"/>
  <c r="Q224" i="3"/>
  <c r="Q200" i="3"/>
  <c r="Q176" i="3"/>
  <c r="Q152" i="3"/>
  <c r="Q128" i="3"/>
  <c r="Q104" i="3"/>
  <c r="Q80" i="3"/>
  <c r="Q56" i="3"/>
  <c r="Q32" i="3"/>
  <c r="Q223" i="3"/>
  <c r="Q199" i="3"/>
  <c r="Q175" i="3"/>
  <c r="Q151" i="3"/>
  <c r="Q127" i="3"/>
  <c r="Q103" i="3"/>
  <c r="Q79" i="3"/>
  <c r="Q55" i="3"/>
  <c r="Q31" i="3"/>
  <c r="Q7" i="3"/>
  <c r="Q8" i="3"/>
  <c r="Q510" i="3"/>
  <c r="Q498" i="3"/>
  <c r="Q486" i="3"/>
  <c r="Q474" i="3"/>
  <c r="Q462" i="3"/>
  <c r="Q450" i="3"/>
  <c r="Q438" i="3"/>
  <c r="Q426" i="3"/>
  <c r="Q414" i="3"/>
  <c r="Q402" i="3"/>
  <c r="Q390" i="3"/>
  <c r="Q378" i="3"/>
  <c r="Q366" i="3"/>
  <c r="Q354" i="3"/>
  <c r="Q342" i="3"/>
  <c r="Q330" i="3"/>
  <c r="Q318" i="3"/>
  <c r="Q306" i="3"/>
  <c r="Q294" i="3"/>
  <c r="Q282" i="3"/>
  <c r="Q270" i="3"/>
  <c r="Q258" i="3"/>
  <c r="Q246" i="3"/>
  <c r="Q234" i="3"/>
  <c r="Q222" i="3"/>
  <c r="Q210" i="3"/>
  <c r="Q198" i="3"/>
  <c r="Q186" i="3"/>
  <c r="Q174" i="3"/>
  <c r="Q162" i="3"/>
  <c r="Q150" i="3"/>
  <c r="Q138" i="3"/>
  <c r="Q126" i="3"/>
  <c r="Q114" i="3"/>
  <c r="Q102" i="3"/>
  <c r="Q90" i="3"/>
  <c r="Q78" i="3"/>
  <c r="Q66" i="3"/>
  <c r="Q54" i="3"/>
  <c r="Q42" i="3"/>
  <c r="Q30" i="3"/>
  <c r="Q18" i="3"/>
  <c r="Q5" i="3"/>
</calcChain>
</file>

<file path=xl/sharedStrings.xml><?xml version="1.0" encoding="utf-8"?>
<sst xmlns="http://schemas.openxmlformats.org/spreadsheetml/2006/main" count="11221" uniqueCount="3152">
  <si>
    <t>patient_id</t>
  </si>
  <si>
    <t>patient_name</t>
  </si>
  <si>
    <t>age</t>
  </si>
  <si>
    <t>gender</t>
  </si>
  <si>
    <t>appointment_date</t>
  </si>
  <si>
    <t>booking_date</t>
  </si>
  <si>
    <t>doctor</t>
  </si>
  <si>
    <t>department</t>
  </si>
  <si>
    <t>billing_amount</t>
  </si>
  <si>
    <t>follow_up_required</t>
  </si>
  <si>
    <t>Tammy Williams</t>
  </si>
  <si>
    <t>female</t>
  </si>
  <si>
    <t>Christopher Graham</t>
  </si>
  <si>
    <t>Cardiology</t>
  </si>
  <si>
    <t>Â£425.8</t>
  </si>
  <si>
    <t>Megan Strickland</t>
  </si>
  <si>
    <t>F</t>
  </si>
  <si>
    <t>05/23/2025</t>
  </si>
  <si>
    <t>Brandon Lewis</t>
  </si>
  <si>
    <t>Orthopedics</t>
  </si>
  <si>
    <t>â‚¬344.26</t>
  </si>
  <si>
    <t>Y</t>
  </si>
  <si>
    <t>Amanda Schroeder</t>
  </si>
  <si>
    <t>M</t>
  </si>
  <si>
    <t>Deanna Edwards</t>
  </si>
  <si>
    <t>Neurology</t>
  </si>
  <si>
    <t>â‚¬203.34</t>
  </si>
  <si>
    <t>Anthony Mcpherson</t>
  </si>
  <si>
    <t>Karen Parsons</t>
  </si>
  <si>
    <t>General</t>
  </si>
  <si>
    <t>Rs85.76</t>
  </si>
  <si>
    <t>No</t>
  </si>
  <si>
    <t>Benjamin Brown</t>
  </si>
  <si>
    <t>08/17/2024</t>
  </si>
  <si>
    <t>Andrea Hernandez</t>
  </si>
  <si>
    <t>$84.44</t>
  </si>
  <si>
    <t>Joe Sharp</t>
  </si>
  <si>
    <t>08/31/2025</t>
  </si>
  <si>
    <t>Kimberly Fields</t>
  </si>
  <si>
    <t>Yes</t>
  </si>
  <si>
    <t>Alexander Harris</t>
  </si>
  <si>
    <t>Female</t>
  </si>
  <si>
    <t>12/29/2024</t>
  </si>
  <si>
    <t>Jim Jones</t>
  </si>
  <si>
    <t>â‚¬99.0</t>
  </si>
  <si>
    <t>Raymond Williams</t>
  </si>
  <si>
    <t>James Brooks</t>
  </si>
  <si>
    <t>Rs374.63</t>
  </si>
  <si>
    <t>Dustin Willis</t>
  </si>
  <si>
    <t>Jamie Hill</t>
  </si>
  <si>
    <t>$452.37</t>
  </si>
  <si>
    <t>Tina Gallagher</t>
  </si>
  <si>
    <t>03/16/2026</t>
  </si>
  <si>
    <t>Tiffany Gates MD</t>
  </si>
  <si>
    <t>â‚¬494.97</t>
  </si>
  <si>
    <t>Robert Guerrero</t>
  </si>
  <si>
    <t>male</t>
  </si>
  <si>
    <t>Shane Brown</t>
  </si>
  <si>
    <t>Â£91.91</t>
  </si>
  <si>
    <t>Karen Walker</t>
  </si>
  <si>
    <t>Natalie White</t>
  </si>
  <si>
    <t>$82.88</t>
  </si>
  <si>
    <t>Chris Rice</t>
  </si>
  <si>
    <t>Amy Olson</t>
  </si>
  <si>
    <t>Rs277.14</t>
  </si>
  <si>
    <t>N</t>
  </si>
  <si>
    <t>Michael Mack</t>
  </si>
  <si>
    <t>John Larsen II</t>
  </si>
  <si>
    <t>â‚¬411.01</t>
  </si>
  <si>
    <t>Andrea Hubbard</t>
  </si>
  <si>
    <t>Andrea Gates</t>
  </si>
  <si>
    <t>Â£67.51</t>
  </si>
  <si>
    <t>Brian Jones</t>
  </si>
  <si>
    <t>Robert Navarro</t>
  </si>
  <si>
    <t>â‚¬163.99</t>
  </si>
  <si>
    <t>Kelly Olsen</t>
  </si>
  <si>
    <t>Male</t>
  </si>
  <si>
    <t>Christopher Bryant</t>
  </si>
  <si>
    <t>Â£252.38</t>
  </si>
  <si>
    <t>Andrew Oconnor</t>
  </si>
  <si>
    <t>Christina Hill</t>
  </si>
  <si>
    <t>$153.07</t>
  </si>
  <si>
    <t>Dennis Hurley</t>
  </si>
  <si>
    <t>Daniel Jacobson</t>
  </si>
  <si>
    <t>Rs329.3</t>
  </si>
  <si>
    <t>Paul Brock</t>
  </si>
  <si>
    <t>Kayla Savage</t>
  </si>
  <si>
    <t>â‚¬135.45</t>
  </si>
  <si>
    <t>Jennifer Aguirre</t>
  </si>
  <si>
    <t>Richard Huang</t>
  </si>
  <si>
    <t>Rs72.73</t>
  </si>
  <si>
    <t>Todd Wilson</t>
  </si>
  <si>
    <t>Rebecca Harrington</t>
  </si>
  <si>
    <t>Rs258.64</t>
  </si>
  <si>
    <t>Jeremiah Cole</t>
  </si>
  <si>
    <t>01/30/2026</t>
  </si>
  <si>
    <t>Louis Turner</t>
  </si>
  <si>
    <t>$203.61</t>
  </si>
  <si>
    <t>Vincent Brown</t>
  </si>
  <si>
    <t>Brianna Garcia</t>
  </si>
  <si>
    <t>Rs236.22</t>
  </si>
  <si>
    <t>Tracy Mcdonald</t>
  </si>
  <si>
    <t>07/31/2025</t>
  </si>
  <si>
    <t>Daniel Gutierrez</t>
  </si>
  <si>
    <t>Rs292.23</t>
  </si>
  <si>
    <t>Phillip Simpson</t>
  </si>
  <si>
    <t>Darren Brooks</t>
  </si>
  <si>
    <t>$51.72</t>
  </si>
  <si>
    <t>Penny Friedman</t>
  </si>
  <si>
    <t>03/23/2026</t>
  </si>
  <si>
    <t>Janice Taylor</t>
  </si>
  <si>
    <t>Â£218.84</t>
  </si>
  <si>
    <t>Cynthia Hensley</t>
  </si>
  <si>
    <t>David Robles</t>
  </si>
  <si>
    <t>Rs160.38</t>
  </si>
  <si>
    <t>Cassandra Gardner</t>
  </si>
  <si>
    <t>Gregory Kirk</t>
  </si>
  <si>
    <t>Rs342.38</t>
  </si>
  <si>
    <t>Patrick Saunders</t>
  </si>
  <si>
    <t>Casey Wagner</t>
  </si>
  <si>
    <t>Rs208.91</t>
  </si>
  <si>
    <t>Angel Kelly</t>
  </si>
  <si>
    <t>12/15/2025</t>
  </si>
  <si>
    <t>Stephanie Taylor</t>
  </si>
  <si>
    <t>Rs426.86</t>
  </si>
  <si>
    <t>Heather Baker</t>
  </si>
  <si>
    <t>Andrew Thomas</t>
  </si>
  <si>
    <t>Â£215.31</t>
  </si>
  <si>
    <t>Stacy Cunningham</t>
  </si>
  <si>
    <t>Laura Klein</t>
  </si>
  <si>
    <t>Â£413.53</t>
  </si>
  <si>
    <t>Nicole Shaw</t>
  </si>
  <si>
    <t>01/19/2025</t>
  </si>
  <si>
    <t>Mr. Brian Morton</t>
  </si>
  <si>
    <t>Michele Park</t>
  </si>
  <si>
    <t>Robert Sparks</t>
  </si>
  <si>
    <t>Â£396.22</t>
  </si>
  <si>
    <t>Leslie Silva</t>
  </si>
  <si>
    <t>Thomas Brandt</t>
  </si>
  <si>
    <t>$340.25</t>
  </si>
  <si>
    <t>Katelyn Smith</t>
  </si>
  <si>
    <t>09/21/2025</t>
  </si>
  <si>
    <t>Robert Henry</t>
  </si>
  <si>
    <t>$481.44</t>
  </si>
  <si>
    <t>John Yang</t>
  </si>
  <si>
    <t>Anthony Jensen</t>
  </si>
  <si>
    <t>$442.77</t>
  </si>
  <si>
    <t>Judy Blair</t>
  </si>
  <si>
    <t>Kevin Benton</t>
  </si>
  <si>
    <t>Rs175.63</t>
  </si>
  <si>
    <t>Jennifer Long</t>
  </si>
  <si>
    <t>Thomas Hernandez</t>
  </si>
  <si>
    <t>â‚¬320.66</t>
  </si>
  <si>
    <t>Melanie Gibson</t>
  </si>
  <si>
    <t>Alison Stanton</t>
  </si>
  <si>
    <t>$268.14</t>
  </si>
  <si>
    <t>Amanda Jones</t>
  </si>
  <si>
    <t>Christopher Morris</t>
  </si>
  <si>
    <t>â‚¬499.75</t>
  </si>
  <si>
    <t>Donna West</t>
  </si>
  <si>
    <t>Troy Hill</t>
  </si>
  <si>
    <t>Rs452.11</t>
  </si>
  <si>
    <t>Edward Sanders</t>
  </si>
  <si>
    <t>Steven Bailey</t>
  </si>
  <si>
    <t>Rs479.77</t>
  </si>
  <si>
    <t>Michael Levine</t>
  </si>
  <si>
    <t>Janet Ray</t>
  </si>
  <si>
    <t>Â£213.35</t>
  </si>
  <si>
    <t>Loretta Richardson</t>
  </si>
  <si>
    <t>Shane Jackson</t>
  </si>
  <si>
    <t>Rs120.34</t>
  </si>
  <si>
    <t>Kathleen Jones</t>
  </si>
  <si>
    <t>Diana Baker</t>
  </si>
  <si>
    <t>Rs135.43</t>
  </si>
  <si>
    <t>Michael Allen</t>
  </si>
  <si>
    <t>Brian Osborne DVM</t>
  </si>
  <si>
    <t>â‚¬214.44</t>
  </si>
  <si>
    <t>Kari Jackson</t>
  </si>
  <si>
    <t>Jeremiah Rose</t>
  </si>
  <si>
    <t>Rs376.08</t>
  </si>
  <si>
    <t>Kim Allen</t>
  </si>
  <si>
    <t>Nancy Levine MD</t>
  </si>
  <si>
    <t>â‚¬343.51</t>
  </si>
  <si>
    <t>Regina Wilson</t>
  </si>
  <si>
    <t>08/14/2025</t>
  </si>
  <si>
    <t>Jenny Zuniga</t>
  </si>
  <si>
    <t>Rs185.66</t>
  </si>
  <si>
    <t>Samantha Mosley</t>
  </si>
  <si>
    <t>Thomas Thomas</t>
  </si>
  <si>
    <t>â‚¬200.01</t>
  </si>
  <si>
    <t>Kathleen Porter</t>
  </si>
  <si>
    <t>Christine Calhoun</t>
  </si>
  <si>
    <t>$367.06</t>
  </si>
  <si>
    <t>Cheryl Michael</t>
  </si>
  <si>
    <t>Thomas Bennett</t>
  </si>
  <si>
    <t>Rs393.4</t>
  </si>
  <si>
    <t>Lawrence Rios</t>
  </si>
  <si>
    <t>Christopher Lee</t>
  </si>
  <si>
    <t>Â£387.4</t>
  </si>
  <si>
    <t>Vanessa Jones</t>
  </si>
  <si>
    <t>Courtney Knight</t>
  </si>
  <si>
    <t>$169.25</t>
  </si>
  <si>
    <t>Tiffany Burke</t>
  </si>
  <si>
    <t>Charles Lopez</t>
  </si>
  <si>
    <t>$274.81</t>
  </si>
  <si>
    <t>Joseph Church</t>
  </si>
  <si>
    <t>Ricky Velazquez</t>
  </si>
  <si>
    <t>Rs68.81</t>
  </si>
  <si>
    <t>Heather Jackson</t>
  </si>
  <si>
    <t>Todd Silva</t>
  </si>
  <si>
    <t>Rs365.13</t>
  </si>
  <si>
    <t>Adam Sanders</t>
  </si>
  <si>
    <t>05/24/2025</t>
  </si>
  <si>
    <t>Patrick Floyd</t>
  </si>
  <si>
    <t>$466.97</t>
  </si>
  <si>
    <t>Edward Perry</t>
  </si>
  <si>
    <t>James Miller</t>
  </si>
  <si>
    <t>Rs484.52</t>
  </si>
  <si>
    <t>Bonnie Boone</t>
  </si>
  <si>
    <t>Lorraine Figueroa</t>
  </si>
  <si>
    <t>â‚¬114.45</t>
  </si>
  <si>
    <t>Robert Brown</t>
  </si>
  <si>
    <t>03/27/2024</t>
  </si>
  <si>
    <t>Jamie Sosa</t>
  </si>
  <si>
    <t>â‚¬195.21</t>
  </si>
  <si>
    <t>Matthew Cross</t>
  </si>
  <si>
    <t>06/24/2025</t>
  </si>
  <si>
    <t>Connie Wood</t>
  </si>
  <si>
    <t>$149.8</t>
  </si>
  <si>
    <t>Jennifer Stark</t>
  </si>
  <si>
    <t>06/29/2025</t>
  </si>
  <si>
    <t>Jason Williams</t>
  </si>
  <si>
    <t>Rs270.33</t>
  </si>
  <si>
    <t>Jordan Camacho Jr.</t>
  </si>
  <si>
    <t>Alexis Carter</t>
  </si>
  <si>
    <t>$186.24</t>
  </si>
  <si>
    <t>Elizabeth Bryant</t>
  </si>
  <si>
    <t>Rebecca Kim</t>
  </si>
  <si>
    <t>Rs425.63</t>
  </si>
  <si>
    <t>Matthew Valdez</t>
  </si>
  <si>
    <t>Rachel Terry</t>
  </si>
  <si>
    <t>Â£91.77</t>
  </si>
  <si>
    <t>Richard Woodard</t>
  </si>
  <si>
    <t>Whitney Hoffman</t>
  </si>
  <si>
    <t>â‚¬91.27</t>
  </si>
  <si>
    <t>Chad Reed</t>
  </si>
  <si>
    <t>Jennifer Adams</t>
  </si>
  <si>
    <t>Â£453.06</t>
  </si>
  <si>
    <t>Jessica Heath</t>
  </si>
  <si>
    <t>04/24/2024</t>
  </si>
  <si>
    <t>Sherri Long</t>
  </si>
  <si>
    <t>â‚¬61.37</t>
  </si>
  <si>
    <t>Clayton Williamson</t>
  </si>
  <si>
    <t>Glen Diaz</t>
  </si>
  <si>
    <t>$185.52</t>
  </si>
  <si>
    <t>Timothy Walter</t>
  </si>
  <si>
    <t>Miss Julie Rodriguez</t>
  </si>
  <si>
    <t>Â£112.48</t>
  </si>
  <si>
    <t>Katelyn Miller</t>
  </si>
  <si>
    <t>Andrea Cruz</t>
  </si>
  <si>
    <t>$382.34</t>
  </si>
  <si>
    <t>Elizabeth Decker</t>
  </si>
  <si>
    <t>Brandi Hale</t>
  </si>
  <si>
    <t>Rs168.18</t>
  </si>
  <si>
    <t>Jessica Smith</t>
  </si>
  <si>
    <t>08/20/2025</t>
  </si>
  <si>
    <t>Crystal Mack</t>
  </si>
  <si>
    <t>James Johnston</t>
  </si>
  <si>
    <t>04/24/2025</t>
  </si>
  <si>
    <t>Drew Bartlett</t>
  </si>
  <si>
    <t>$206.53</t>
  </si>
  <si>
    <t>Christine Price</t>
  </si>
  <si>
    <t>Susan Brown</t>
  </si>
  <si>
    <t>$258.21</t>
  </si>
  <si>
    <t>Amy Mayer</t>
  </si>
  <si>
    <t>Jim Patterson</t>
  </si>
  <si>
    <t>â‚¬253.4</t>
  </si>
  <si>
    <t>Samuel Moore</t>
  </si>
  <si>
    <t>Heather Everett</t>
  </si>
  <si>
    <t>Rs83.09</t>
  </si>
  <si>
    <t>Jamie Mcclure</t>
  </si>
  <si>
    <t>Katherine Sanders</t>
  </si>
  <si>
    <t>$80.38</t>
  </si>
  <si>
    <t>Luke Price</t>
  </si>
  <si>
    <t>Virginia Lang</t>
  </si>
  <si>
    <t>Rs260.4</t>
  </si>
  <si>
    <t>Luis Rodriguez</t>
  </si>
  <si>
    <t>Samantha Bass MD</t>
  </si>
  <si>
    <t>$294.58</t>
  </si>
  <si>
    <t>Pamela Brown</t>
  </si>
  <si>
    <t>Melinda Duncan</t>
  </si>
  <si>
    <t>$247.13</t>
  </si>
  <si>
    <t>Craig Nixon</t>
  </si>
  <si>
    <t>William Key</t>
  </si>
  <si>
    <t>Â£341.19</t>
  </si>
  <si>
    <t>Justin Caldwell</t>
  </si>
  <si>
    <t>Ronnie Miller</t>
  </si>
  <si>
    <t>Rs383.69</t>
  </si>
  <si>
    <t>Cassandra Collins</t>
  </si>
  <si>
    <t>Mark Lutz</t>
  </si>
  <si>
    <t>â‚¬243.78</t>
  </si>
  <si>
    <t>Adam Torres</t>
  </si>
  <si>
    <t>Daniel Le</t>
  </si>
  <si>
    <t>Rs329.25</t>
  </si>
  <si>
    <t>Carol Foster</t>
  </si>
  <si>
    <t>08/22/2025</t>
  </si>
  <si>
    <t>Bryan Mann</t>
  </si>
  <si>
    <t>â‚¬389.37</t>
  </si>
  <si>
    <t>Chelsey Moore</t>
  </si>
  <si>
    <t>Randy Garrett</t>
  </si>
  <si>
    <t>Â£344.56</t>
  </si>
  <si>
    <t>John Hensley</t>
  </si>
  <si>
    <t>Paul Tate</t>
  </si>
  <si>
    <t>Rs289.07</t>
  </si>
  <si>
    <t>Chelsea Burns</t>
  </si>
  <si>
    <t>Michael Morales</t>
  </si>
  <si>
    <t>Rs193.6</t>
  </si>
  <si>
    <t>Ryan Miller</t>
  </si>
  <si>
    <t>Alexa Peterson</t>
  </si>
  <si>
    <t>Rs259.72</t>
  </si>
  <si>
    <t>Jared Green</t>
  </si>
  <si>
    <t>Brenda Castro</t>
  </si>
  <si>
    <t>â‚¬235.69</t>
  </si>
  <si>
    <t>Traci Chandler</t>
  </si>
  <si>
    <t>Tyler Carter</t>
  </si>
  <si>
    <t>â‚¬428.75</t>
  </si>
  <si>
    <t>Kenneth Graham</t>
  </si>
  <si>
    <t>Wayne Graham</t>
  </si>
  <si>
    <t>$142.32</t>
  </si>
  <si>
    <t>Angela Watkins</t>
  </si>
  <si>
    <t>Kyle Russell</t>
  </si>
  <si>
    <t>Â£109.31</t>
  </si>
  <si>
    <t>Keith Becker</t>
  </si>
  <si>
    <t>Kristopher Collier</t>
  </si>
  <si>
    <t>Nicole Hoffman</t>
  </si>
  <si>
    <t>Robert Mitchell</t>
  </si>
  <si>
    <t>$325.25</t>
  </si>
  <si>
    <t>Hannah Perez</t>
  </si>
  <si>
    <t>Rita Smith</t>
  </si>
  <si>
    <t>Â£111.92</t>
  </si>
  <si>
    <t>Amanda Fuller</t>
  </si>
  <si>
    <t>02/18/2026</t>
  </si>
  <si>
    <t>Anthony Cruz</t>
  </si>
  <si>
    <t>$347.68</t>
  </si>
  <si>
    <t>Tina Lewis</t>
  </si>
  <si>
    <t>Derrick Salazar</t>
  </si>
  <si>
    <t>Â£59.67</t>
  </si>
  <si>
    <t>Sarah Hahn</t>
  </si>
  <si>
    <t>Theresa Lee</t>
  </si>
  <si>
    <t>Rs123.03</t>
  </si>
  <si>
    <t>Destiny Martin</t>
  </si>
  <si>
    <t>Lynn Jones</t>
  </si>
  <si>
    <t>Rs420.58</t>
  </si>
  <si>
    <t>Megan Mitchell</t>
  </si>
  <si>
    <t>05/18/2024</t>
  </si>
  <si>
    <t>Desiree Giles</t>
  </si>
  <si>
    <t>â‚¬351.17</t>
  </si>
  <si>
    <t>Benjamin Hughes</t>
  </si>
  <si>
    <t>Nicholas Mcneil</t>
  </si>
  <si>
    <t>Â£125.31</t>
  </si>
  <si>
    <t>John Anderson</t>
  </si>
  <si>
    <t>01/18/2026</t>
  </si>
  <si>
    <t>Paul Blackburn</t>
  </si>
  <si>
    <t>â‚¬253.42</t>
  </si>
  <si>
    <t>Chelsea Matthews</t>
  </si>
  <si>
    <t>03/24/2025</t>
  </si>
  <si>
    <t>Elizabeth Obrien</t>
  </si>
  <si>
    <t>â‚¬359.78</t>
  </si>
  <si>
    <t>Monica Horton</t>
  </si>
  <si>
    <t>Kayla Stein</t>
  </si>
  <si>
    <t>$277.21</t>
  </si>
  <si>
    <t>Joanna Tucker</t>
  </si>
  <si>
    <t>Andrew Gray</t>
  </si>
  <si>
    <t>Â£84.69</t>
  </si>
  <si>
    <t>Dr. Peggy Mendoza</t>
  </si>
  <si>
    <t>01/23/2025</t>
  </si>
  <si>
    <t>Ashley Flowers</t>
  </si>
  <si>
    <t>â‚¬96.94</t>
  </si>
  <si>
    <t>Victoria Gomez</t>
  </si>
  <si>
    <t>06/26/2025</t>
  </si>
  <si>
    <t>05/19/2025</t>
  </si>
  <si>
    <t>Nicole Chandler</t>
  </si>
  <si>
    <t>Rs205.35</t>
  </si>
  <si>
    <t>Daniel Rivera</t>
  </si>
  <si>
    <t>12/28/2025</t>
  </si>
  <si>
    <t>Morgan Green</t>
  </si>
  <si>
    <t>Rs155.42</t>
  </si>
  <si>
    <t>Harry Wallace</t>
  </si>
  <si>
    <t>Nancy Hernandez</t>
  </si>
  <si>
    <t>$493.0</t>
  </si>
  <si>
    <t>Alicia Scott</t>
  </si>
  <si>
    <t>William Cochran</t>
  </si>
  <si>
    <t>$243.15</t>
  </si>
  <si>
    <t>Melissa Lane</t>
  </si>
  <si>
    <t>Vanessa Pittman</t>
  </si>
  <si>
    <t>â‚¬122.6</t>
  </si>
  <si>
    <t>Olivia Lambert</t>
  </si>
  <si>
    <t>Melanie Blanchard</t>
  </si>
  <si>
    <t>Â£100.34</t>
  </si>
  <si>
    <t>Russell Taylor</t>
  </si>
  <si>
    <t>11/29/2025</t>
  </si>
  <si>
    <t>Breanna Gray</t>
  </si>
  <si>
    <t>Rs335.07</t>
  </si>
  <si>
    <t>Joshua Sanchez DDS</t>
  </si>
  <si>
    <t>03/29/2025</t>
  </si>
  <si>
    <t>George Flores</t>
  </si>
  <si>
    <t>Â£154.29</t>
  </si>
  <si>
    <t>Kayla Drake</t>
  </si>
  <si>
    <t>12/27/2025</t>
  </si>
  <si>
    <t>Jennifer Long DDS</t>
  </si>
  <si>
    <t>$412.07</t>
  </si>
  <si>
    <t>Karen Carter</t>
  </si>
  <si>
    <t>Chase Clark</t>
  </si>
  <si>
    <t>Rs401.33</t>
  </si>
  <si>
    <t>Andrew Baker</t>
  </si>
  <si>
    <t>Michael Gillespie</t>
  </si>
  <si>
    <t>$486.57</t>
  </si>
  <si>
    <t>Richard Hernandez</t>
  </si>
  <si>
    <t>09/18/2025</t>
  </si>
  <si>
    <t>Daniel Bradley</t>
  </si>
  <si>
    <t>Â£482.25</t>
  </si>
  <si>
    <t>Matthew Rivera</t>
  </si>
  <si>
    <t>04/26/2025</t>
  </si>
  <si>
    <t>Theodore Bean</t>
  </si>
  <si>
    <t>â‚¬255.82</t>
  </si>
  <si>
    <t>Benjamin Jenkins</t>
  </si>
  <si>
    <t>07/23/2025</t>
  </si>
  <si>
    <t>Michael Bond</t>
  </si>
  <si>
    <t>â‚¬258.12</t>
  </si>
  <si>
    <t>John Johnson</t>
  </si>
  <si>
    <t>Steve Bush</t>
  </si>
  <si>
    <t>$162.94</t>
  </si>
  <si>
    <t>Martha Zavala</t>
  </si>
  <si>
    <t>Penny Freeman</t>
  </si>
  <si>
    <t>Â£153.05</t>
  </si>
  <si>
    <t>Daniel Ballard</t>
  </si>
  <si>
    <t>Willie Williams</t>
  </si>
  <si>
    <t>Â£114.64</t>
  </si>
  <si>
    <t>Mariah Davis</t>
  </si>
  <si>
    <t>10/24/2025</t>
  </si>
  <si>
    <t>Douglas Ford</t>
  </si>
  <si>
    <t>Â£381.62</t>
  </si>
  <si>
    <t>Timothy Osborne</t>
  </si>
  <si>
    <t>12/18/2025</t>
  </si>
  <si>
    <t>Christopher Ferguson</t>
  </si>
  <si>
    <t>Â£215.46</t>
  </si>
  <si>
    <t>Kelsey Collins</t>
  </si>
  <si>
    <t>Gabrielle Collins</t>
  </si>
  <si>
    <t>$455.75</t>
  </si>
  <si>
    <t>David Kramer</t>
  </si>
  <si>
    <t>Anne Watkins</t>
  </si>
  <si>
    <t>Â£325.97</t>
  </si>
  <si>
    <t>Patricia King</t>
  </si>
  <si>
    <t>$468.06</t>
  </si>
  <si>
    <t>Sheri Kline</t>
  </si>
  <si>
    <t>Jennifer Russell</t>
  </si>
  <si>
    <t>Â£377.14</t>
  </si>
  <si>
    <t>Troy White</t>
  </si>
  <si>
    <t>Cindy Cox</t>
  </si>
  <si>
    <t>$87.2</t>
  </si>
  <si>
    <t>David Young</t>
  </si>
  <si>
    <t>Amy Williams</t>
  </si>
  <si>
    <t>$226.97</t>
  </si>
  <si>
    <t>Tim Flowers</t>
  </si>
  <si>
    <t>09/29/2025</t>
  </si>
  <si>
    <t>Kimberly Henson</t>
  </si>
  <si>
    <t>Rs139.81</t>
  </si>
  <si>
    <t>Gregory Garcia</t>
  </si>
  <si>
    <t>Megan Jensen</t>
  </si>
  <si>
    <t>$466.08</t>
  </si>
  <si>
    <t>Max Martinez</t>
  </si>
  <si>
    <t>Joshua Sellers</t>
  </si>
  <si>
    <t>Rs352.03</t>
  </si>
  <si>
    <t>Paul Hinton</t>
  </si>
  <si>
    <t>Lindsey Fitzpatrick</t>
  </si>
  <si>
    <t>$461.19</t>
  </si>
  <si>
    <t>Thomas Landry</t>
  </si>
  <si>
    <t>Brandon Moore</t>
  </si>
  <si>
    <t>Alexander Le</t>
  </si>
  <si>
    <t>Cynthia Booker</t>
  </si>
  <si>
    <t>Â£252.22</t>
  </si>
  <si>
    <t>Joseph Irwin</t>
  </si>
  <si>
    <t>Jacob Kerr</t>
  </si>
  <si>
    <t>Â£206.74</t>
  </si>
  <si>
    <t>Corey Smith</t>
  </si>
  <si>
    <t>02/15/2025</t>
  </si>
  <si>
    <t>Luke Williams</t>
  </si>
  <si>
    <t>$130.7</t>
  </si>
  <si>
    <t>Brandon Baker</t>
  </si>
  <si>
    <t>Alison Walters</t>
  </si>
  <si>
    <t>Â£106.33</t>
  </si>
  <si>
    <t>John Campbell</t>
  </si>
  <si>
    <t>06/21/2024</t>
  </si>
  <si>
    <t>Tanya Baxter</t>
  </si>
  <si>
    <t>Craig Hunt</t>
  </si>
  <si>
    <t>Cynthia Brown</t>
  </si>
  <si>
    <t>$122.56</t>
  </si>
  <si>
    <t>Lisa Cameron</t>
  </si>
  <si>
    <t>Karen Hunt</t>
  </si>
  <si>
    <t>Â£238.81</t>
  </si>
  <si>
    <t>Nathaniel Wood</t>
  </si>
  <si>
    <t>Alec Hill</t>
  </si>
  <si>
    <t>Rs413.21</t>
  </si>
  <si>
    <t>Dr. Lindsey Arias DDS</t>
  </si>
  <si>
    <t>Colton Williams</t>
  </si>
  <si>
    <t>â‚¬91.87</t>
  </si>
  <si>
    <t>Timothy Matthews</t>
  </si>
  <si>
    <t>Brandy Sutton</t>
  </si>
  <si>
    <t>â‚¬485.5</t>
  </si>
  <si>
    <t>Katelyn Byrd</t>
  </si>
  <si>
    <t>Barbara Chavez</t>
  </si>
  <si>
    <t>Â£209.81</t>
  </si>
  <si>
    <t>Jeffrey Bates</t>
  </si>
  <si>
    <t>Lisa Ho</t>
  </si>
  <si>
    <t>$401.55</t>
  </si>
  <si>
    <t>Kevin Johnson</t>
  </si>
  <si>
    <t>Lance Smith</t>
  </si>
  <si>
    <t>Rs283.3</t>
  </si>
  <si>
    <t>Kelly Mcknight</t>
  </si>
  <si>
    <t>Jerry Lopez</t>
  </si>
  <si>
    <t>Â£146.2</t>
  </si>
  <si>
    <t>Jamie Wright</t>
  </si>
  <si>
    <t>03/18/2025</t>
  </si>
  <si>
    <t>Lori Hall</t>
  </si>
  <si>
    <t>â‚¬211.18</t>
  </si>
  <si>
    <t>Kimberly Conner</t>
  </si>
  <si>
    <t>Steven Holland</t>
  </si>
  <si>
    <t>Â£476.99</t>
  </si>
  <si>
    <t>Kelli Page</t>
  </si>
  <si>
    <t>Stephanie Wall</t>
  </si>
  <si>
    <t>$248.33</t>
  </si>
  <si>
    <t>Deanna Abbott</t>
  </si>
  <si>
    <t>Damon Hayes</t>
  </si>
  <si>
    <t>Â£192.67</t>
  </si>
  <si>
    <t>Lindsay Rodriguez</t>
  </si>
  <si>
    <t>07/18/2025</t>
  </si>
  <si>
    <t>Troy Lynch</t>
  </si>
  <si>
    <t>Christopher Singleton</t>
  </si>
  <si>
    <t>Brandy Graves</t>
  </si>
  <si>
    <t>$65.06</t>
  </si>
  <si>
    <t>Michael Walsh</t>
  </si>
  <si>
    <t>01/24/2025</t>
  </si>
  <si>
    <t>Tammy Watts</t>
  </si>
  <si>
    <t>Â£117.14</t>
  </si>
  <si>
    <t>Caroline Reed</t>
  </si>
  <si>
    <t>Eric Kelly</t>
  </si>
  <si>
    <t>Rs433.77</t>
  </si>
  <si>
    <t>Jennifer Wells</t>
  </si>
  <si>
    <t>David Cole</t>
  </si>
  <si>
    <t>$82.84</t>
  </si>
  <si>
    <t>Gary Walker</t>
  </si>
  <si>
    <t>Matthew Lopez</t>
  </si>
  <si>
    <t>Rs216.23</t>
  </si>
  <si>
    <t>Michelle Johnson</t>
  </si>
  <si>
    <t>Jennifer Brooks</t>
  </si>
  <si>
    <t>â‚¬492.98</t>
  </si>
  <si>
    <t>Malik Robinson</t>
  </si>
  <si>
    <t>Amber Little</t>
  </si>
  <si>
    <t>Rs280.77</t>
  </si>
  <si>
    <t>Michael Glenn</t>
  </si>
  <si>
    <t>Robert Martinez</t>
  </si>
  <si>
    <t>$99.19</t>
  </si>
  <si>
    <t>Anthony Cortez</t>
  </si>
  <si>
    <t>Derrick Cook</t>
  </si>
  <si>
    <t>$225.83</t>
  </si>
  <si>
    <t>Daniel Cole</t>
  </si>
  <si>
    <t>Dustin Jones</t>
  </si>
  <si>
    <t>$458.12</t>
  </si>
  <si>
    <t>Matthew Lloyd</t>
  </si>
  <si>
    <t>Timothy Morgan</t>
  </si>
  <si>
    <t>â‚¬244.78</t>
  </si>
  <si>
    <t>Jason Hicks</t>
  </si>
  <si>
    <t>Stacey Garcia</t>
  </si>
  <si>
    <t>â‚¬330.37</t>
  </si>
  <si>
    <t>Stephanie Cisneros</t>
  </si>
  <si>
    <t>Rachel Richards</t>
  </si>
  <si>
    <t>Â£98.14</t>
  </si>
  <si>
    <t>Troy Taylor</t>
  </si>
  <si>
    <t>Jason Gill</t>
  </si>
  <si>
    <t>Â£464.69</t>
  </si>
  <si>
    <t>Charles Cruz</t>
  </si>
  <si>
    <t>01/27/2026</t>
  </si>
  <si>
    <t>Jessica Sawyer</t>
  </si>
  <si>
    <t>Â£91.65</t>
  </si>
  <si>
    <t>Brenda Ward</t>
  </si>
  <si>
    <t>08/25/2025</t>
  </si>
  <si>
    <t>Tonya Smith</t>
  </si>
  <si>
    <t>Rs425.67</t>
  </si>
  <si>
    <t>David Martinez</t>
  </si>
  <si>
    <t>Amber Braun</t>
  </si>
  <si>
    <t>Alex Webster</t>
  </si>
  <si>
    <t>12/24/2024</t>
  </si>
  <si>
    <t>Lorraine Schroeder</t>
  </si>
  <si>
    <t>â‚¬140.86</t>
  </si>
  <si>
    <t>Carl Sanchez</t>
  </si>
  <si>
    <t>Christina Price</t>
  </si>
  <si>
    <t>$446.06</t>
  </si>
  <si>
    <t>Lucas Ray</t>
  </si>
  <si>
    <t>Carrie Larsen</t>
  </si>
  <si>
    <t>Â£138.59</t>
  </si>
  <si>
    <t>Cynthia Wells</t>
  </si>
  <si>
    <t>Ashlee Romero</t>
  </si>
  <si>
    <t>Â£448.6</t>
  </si>
  <si>
    <t>Dwayne Clarke</t>
  </si>
  <si>
    <t>Andrew Meadows</t>
  </si>
  <si>
    <t>â‚¬150.94</t>
  </si>
  <si>
    <t>James Jimenez</t>
  </si>
  <si>
    <t>Ryan Marsh</t>
  </si>
  <si>
    <t>â‚¬339.19</t>
  </si>
  <si>
    <t>Dr. Michele Copeland</t>
  </si>
  <si>
    <t>09/25/2025</t>
  </si>
  <si>
    <t>Debra Castillo</t>
  </si>
  <si>
    <t>â‚¬187.28</t>
  </si>
  <si>
    <t>Travis Allen MD</t>
  </si>
  <si>
    <t>Karen White</t>
  </si>
  <si>
    <t>â‚¬157.66</t>
  </si>
  <si>
    <t>Bradley Fuller</t>
  </si>
  <si>
    <t>Rs69.97</t>
  </si>
  <si>
    <t>Miss Crystal Davis DDS</t>
  </si>
  <si>
    <t>Christopher Hayes</t>
  </si>
  <si>
    <t>Â£490.55</t>
  </si>
  <si>
    <t>Kara White</t>
  </si>
  <si>
    <t>03/14/2026</t>
  </si>
  <si>
    <t>Kyle Dawson</t>
  </si>
  <si>
    <t>â‚¬315.64</t>
  </si>
  <si>
    <t>Briana Guerrero</t>
  </si>
  <si>
    <t>Molly Warner</t>
  </si>
  <si>
    <t>Â£231.08</t>
  </si>
  <si>
    <t>Judy Nguyen</t>
  </si>
  <si>
    <t>Michelle Ortega</t>
  </si>
  <si>
    <t>$429.14</t>
  </si>
  <si>
    <t>Sandra Murphy</t>
  </si>
  <si>
    <t>Shelby Brown</t>
  </si>
  <si>
    <t>Rs93.12</t>
  </si>
  <si>
    <t>Debra Ford</t>
  </si>
  <si>
    <t>Allison Smith</t>
  </si>
  <si>
    <t>Â£461.81</t>
  </si>
  <si>
    <t>Michelle Harris</t>
  </si>
  <si>
    <t>Matthew Garrett</t>
  </si>
  <si>
    <t>â‚¬130.72</t>
  </si>
  <si>
    <t>Ariel Davis</t>
  </si>
  <si>
    <t>Jason Gallagher</t>
  </si>
  <si>
    <t>Rs85.63</t>
  </si>
  <si>
    <t>Anna Garrett</t>
  </si>
  <si>
    <t>03/20/2025</t>
  </si>
  <si>
    <t>Alice Lucas</t>
  </si>
  <si>
    <t>â‚¬394.9</t>
  </si>
  <si>
    <t>Kimberly Guzman</t>
  </si>
  <si>
    <t>11/18/2025</t>
  </si>
  <si>
    <t>Kristin Reeves</t>
  </si>
  <si>
    <t>Terry Miller</t>
  </si>
  <si>
    <t>John Lyons</t>
  </si>
  <si>
    <t>Marissa Davidson</t>
  </si>
  <si>
    <t>Philip Davis</t>
  </si>
  <si>
    <t>Â£499.67</t>
  </si>
  <si>
    <t>Emma Martin</t>
  </si>
  <si>
    <t>08/21/2025</t>
  </si>
  <si>
    <t>Charles Mcmillan</t>
  </si>
  <si>
    <t>â‚¬66.64</t>
  </si>
  <si>
    <t>William Lewis</t>
  </si>
  <si>
    <t>Wesley Johnson</t>
  </si>
  <si>
    <t>Rs361.31</t>
  </si>
  <si>
    <t>Robert Mclaughlin</t>
  </si>
  <si>
    <t>Shannon Mejia</t>
  </si>
  <si>
    <t>Â£205.31</t>
  </si>
  <si>
    <t>William Sparks</t>
  </si>
  <si>
    <t>Jeffrey Ashley Jr.</t>
  </si>
  <si>
    <t>Rs193.18</t>
  </si>
  <si>
    <t>David Kidd</t>
  </si>
  <si>
    <t>Kathy Thompson</t>
  </si>
  <si>
    <t>Â£321.34</t>
  </si>
  <si>
    <t>Brandon Martin</t>
  </si>
  <si>
    <t>John Miller</t>
  </si>
  <si>
    <t>$446.44</t>
  </si>
  <si>
    <t>Amanda Martinez</t>
  </si>
  <si>
    <t>Gary Bowman</t>
  </si>
  <si>
    <t>$165.8</t>
  </si>
  <si>
    <t>Nancy Barry</t>
  </si>
  <si>
    <t>Katherine Espinoza</t>
  </si>
  <si>
    <t>Rs493.59</t>
  </si>
  <si>
    <t>Clinton Estrada</t>
  </si>
  <si>
    <t>10/14/2024</t>
  </si>
  <si>
    <t>Jacob Bender</t>
  </si>
  <si>
    <t>Maria Douglas</t>
  </si>
  <si>
    <t>Daniel Evans</t>
  </si>
  <si>
    <t>â‚¬489.64</t>
  </si>
  <si>
    <t>Walter Webb</t>
  </si>
  <si>
    <t>Dale Herrera</t>
  </si>
  <si>
    <t>Megan Avery</t>
  </si>
  <si>
    <t>Michael Arroyo Jr.</t>
  </si>
  <si>
    <t>$96.48</t>
  </si>
  <si>
    <t>Brianna Morris</t>
  </si>
  <si>
    <t>Gregory West DDS</t>
  </si>
  <si>
    <t>â‚¬422.79</t>
  </si>
  <si>
    <t>Judy Avila</t>
  </si>
  <si>
    <t>Morgan Ramos</t>
  </si>
  <si>
    <t>Rs330.43</t>
  </si>
  <si>
    <t>Erika Davis</t>
  </si>
  <si>
    <t>Allison Parker</t>
  </si>
  <si>
    <t>Â£440.72</t>
  </si>
  <si>
    <t>Jeffrey Solis</t>
  </si>
  <si>
    <t>William Nichols</t>
  </si>
  <si>
    <t>â‚¬287.03</t>
  </si>
  <si>
    <t>Scott Graves</t>
  </si>
  <si>
    <t>Marie Clark</t>
  </si>
  <si>
    <t>â‚¬489.0</t>
  </si>
  <si>
    <t>Ellen Fitzpatrick</t>
  </si>
  <si>
    <t>04/23/2025</t>
  </si>
  <si>
    <t>Grant Parker</t>
  </si>
  <si>
    <t>Â£201.19</t>
  </si>
  <si>
    <t>Mark Harrison</t>
  </si>
  <si>
    <t>Jennifer Hernandez</t>
  </si>
  <si>
    <t>â‚¬155.45</t>
  </si>
  <si>
    <t>Daniel Barajas</t>
  </si>
  <si>
    <t>Joshua Burnett</t>
  </si>
  <si>
    <t>Â£236.44</t>
  </si>
  <si>
    <t>Christine Murphy</t>
  </si>
  <si>
    <t>Amanda Mendoza</t>
  </si>
  <si>
    <t>$96.21</t>
  </si>
  <si>
    <t>Richard Wagner</t>
  </si>
  <si>
    <t>Christopher Sherman</t>
  </si>
  <si>
    <t>â‚¬270.47</t>
  </si>
  <si>
    <t>Eric Coffey</t>
  </si>
  <si>
    <t>Jeffrey Burns</t>
  </si>
  <si>
    <t>Rs284.29</t>
  </si>
  <si>
    <t>Tony Gibbs</t>
  </si>
  <si>
    <t>Brandon Morris</t>
  </si>
  <si>
    <t>â‚¬354.36</t>
  </si>
  <si>
    <t>Stephanie Bryant</t>
  </si>
  <si>
    <t>Sara Booth</t>
  </si>
  <si>
    <t>Â£452.69</t>
  </si>
  <si>
    <t>Eric Allen</t>
  </si>
  <si>
    <t>Amanda Mclaughlin</t>
  </si>
  <si>
    <t>Â£329.83</t>
  </si>
  <si>
    <t>Robert Jimenez</t>
  </si>
  <si>
    <t>Tony Randall</t>
  </si>
  <si>
    <t>â‚¬450.86</t>
  </si>
  <si>
    <t>Chris Wells</t>
  </si>
  <si>
    <t>Crystal Medina</t>
  </si>
  <si>
    <t>Rs132.38</t>
  </si>
  <si>
    <t>Danny Gray</t>
  </si>
  <si>
    <t>Patricia Carpenter</t>
  </si>
  <si>
    <t>â‚¬199.55</t>
  </si>
  <si>
    <t>Alicia Davis</t>
  </si>
  <si>
    <t>John Gonzalez</t>
  </si>
  <si>
    <t>â‚¬296.7</t>
  </si>
  <si>
    <t>Dr. John Hernandez</t>
  </si>
  <si>
    <t>Michelle Austin</t>
  </si>
  <si>
    <t>$409.96</t>
  </si>
  <si>
    <t>Andres Mills</t>
  </si>
  <si>
    <t>Paul Weaver</t>
  </si>
  <si>
    <t>Â£386.53</t>
  </si>
  <si>
    <t>Vanessa Allen</t>
  </si>
  <si>
    <t>Amy Chavez</t>
  </si>
  <si>
    <t>Rs243.94</t>
  </si>
  <si>
    <t>Virginia Flores</t>
  </si>
  <si>
    <t>12/26/2025</t>
  </si>
  <si>
    <t>Leonard Macias</t>
  </si>
  <si>
    <t>$364.83</t>
  </si>
  <si>
    <t>Mackenzie Walker</t>
  </si>
  <si>
    <t>Jenny Wright</t>
  </si>
  <si>
    <t>$335.95</t>
  </si>
  <si>
    <t>Kayla Berger</t>
  </si>
  <si>
    <t>Todd Oconnor</t>
  </si>
  <si>
    <t>Brian White</t>
  </si>
  <si>
    <t>Rachel Howell</t>
  </si>
  <si>
    <t>â‚¬387.58</t>
  </si>
  <si>
    <t>Dale Fisher</t>
  </si>
  <si>
    <t>01/16/2026</t>
  </si>
  <si>
    <t>04/20/2024</t>
  </si>
  <si>
    <t>Dr. Heidi Johnson</t>
  </si>
  <si>
    <t>Rs360.39</t>
  </si>
  <si>
    <t>Brian Griffith</t>
  </si>
  <si>
    <t>Robert Stanley</t>
  </si>
  <si>
    <t>Â£288.24</t>
  </si>
  <si>
    <t>Theresa Sanchez</t>
  </si>
  <si>
    <t>08/16/2024</t>
  </si>
  <si>
    <t>Amber Sullivan</t>
  </si>
  <si>
    <t>â‚¬286.43</t>
  </si>
  <si>
    <t>Kimberly Watson</t>
  </si>
  <si>
    <t>Joseph Meyers</t>
  </si>
  <si>
    <t>Christopher Miller</t>
  </si>
  <si>
    <t>Christine Arnold</t>
  </si>
  <si>
    <t>â‚¬476.26</t>
  </si>
  <si>
    <t>Brian Davis</t>
  </si>
  <si>
    <t>Michelle Smith</t>
  </si>
  <si>
    <t>Â£480.75</t>
  </si>
  <si>
    <t>Deborah Wagner</t>
  </si>
  <si>
    <t>Cesar Sanchez</t>
  </si>
  <si>
    <t>Rs277.6</t>
  </si>
  <si>
    <t>Christine Vega</t>
  </si>
  <si>
    <t>03/23/2025</t>
  </si>
  <si>
    <t>Jordan Cole</t>
  </si>
  <si>
    <t>Rs301.11</t>
  </si>
  <si>
    <t>Zachary Jones</t>
  </si>
  <si>
    <t>Alexander Lee</t>
  </si>
  <si>
    <t>Â£304.51</t>
  </si>
  <si>
    <t>Stephen Hicks</t>
  </si>
  <si>
    <t>10/19/2025</t>
  </si>
  <si>
    <t>Christopher Underwood</t>
  </si>
  <si>
    <t>Â£266.53</t>
  </si>
  <si>
    <t>Haley Taylor</t>
  </si>
  <si>
    <t>04/18/2025</t>
  </si>
  <si>
    <t>Christopher Wolfe</t>
  </si>
  <si>
    <t>Rs433.55</t>
  </si>
  <si>
    <t>Melissa Miranda</t>
  </si>
  <si>
    <t>Jennifer Jones</t>
  </si>
  <si>
    <t>Â£70.47</t>
  </si>
  <si>
    <t>Linda Nicholson</t>
  </si>
  <si>
    <t>08/19/2025</t>
  </si>
  <si>
    <t>Melissa Daniels</t>
  </si>
  <si>
    <t>$425.91</t>
  </si>
  <si>
    <t>Whitney Bradley</t>
  </si>
  <si>
    <t>Ryan White</t>
  </si>
  <si>
    <t>â‚¬111.71</t>
  </si>
  <si>
    <t>Carolyn Jacobson</t>
  </si>
  <si>
    <t>Katrina Johnston</t>
  </si>
  <si>
    <t>Â£365.37</t>
  </si>
  <si>
    <t>Jordan Hudson</t>
  </si>
  <si>
    <t>06/17/2025</t>
  </si>
  <si>
    <t>04/25/2024</t>
  </si>
  <si>
    <t>Linda Martin</t>
  </si>
  <si>
    <t>â‚¬475.27</t>
  </si>
  <si>
    <t>Joseph Banks</t>
  </si>
  <si>
    <t>Susan Kelley</t>
  </si>
  <si>
    <t>$108.6</t>
  </si>
  <si>
    <t>Brad West</t>
  </si>
  <si>
    <t>05/14/2025</t>
  </si>
  <si>
    <t>Samuel Stone</t>
  </si>
  <si>
    <t>Â£455.05</t>
  </si>
  <si>
    <t>Kelsey Johnson</t>
  </si>
  <si>
    <t>Mallory Torres</t>
  </si>
  <si>
    <t>Â£264.45</t>
  </si>
  <si>
    <t>Jared Parrish</t>
  </si>
  <si>
    <t>Wendy Herrera</t>
  </si>
  <si>
    <t>Rs132.57</t>
  </si>
  <si>
    <t>Megan Murphy</t>
  </si>
  <si>
    <t>Kevin Coleman</t>
  </si>
  <si>
    <t>Rs359.5</t>
  </si>
  <si>
    <t>Laura Lopez</t>
  </si>
  <si>
    <t>06/13/2024</t>
  </si>
  <si>
    <t>Julie Phillips</t>
  </si>
  <si>
    <t>Rs464.57</t>
  </si>
  <si>
    <t>Joshua Sanford</t>
  </si>
  <si>
    <t>Tara Montoya</t>
  </si>
  <si>
    <t>$186.61</t>
  </si>
  <si>
    <t>Mark Bowers</t>
  </si>
  <si>
    <t>Antonio Bryant</t>
  </si>
  <si>
    <t>$116.69</t>
  </si>
  <si>
    <t>Nicole West</t>
  </si>
  <si>
    <t>Marissa Jacobs</t>
  </si>
  <si>
    <t>â‚¬218.44</t>
  </si>
  <si>
    <t>Amy Wood</t>
  </si>
  <si>
    <t>06/22/2025</t>
  </si>
  <si>
    <t>John Shannon</t>
  </si>
  <si>
    <t>â‚¬255.67</t>
  </si>
  <si>
    <t>Robert Montoya</t>
  </si>
  <si>
    <t>Gregg Bennett</t>
  </si>
  <si>
    <t>Robert Torres</t>
  </si>
  <si>
    <t>Kyle Phillips</t>
  </si>
  <si>
    <t>$129.48</t>
  </si>
  <si>
    <t>Mason Morgan</t>
  </si>
  <si>
    <t>James Cobb</t>
  </si>
  <si>
    <t>Rs299.03</t>
  </si>
  <si>
    <t>Jeffrey Hart</t>
  </si>
  <si>
    <t>11/16/2024</t>
  </si>
  <si>
    <t>Jacob Townsend</t>
  </si>
  <si>
    <t>Rs459.66</t>
  </si>
  <si>
    <t>Jessica Pitts</t>
  </si>
  <si>
    <t>Miguel Hayes</t>
  </si>
  <si>
    <t>Â£403.61</t>
  </si>
  <si>
    <t>Amy King</t>
  </si>
  <si>
    <t>Peter Wells</t>
  </si>
  <si>
    <t>Â£241.48</t>
  </si>
  <si>
    <t>Lisa Fisher</t>
  </si>
  <si>
    <t>Karen Martin</t>
  </si>
  <si>
    <t>$417.38</t>
  </si>
  <si>
    <t>Donna Jenkins</t>
  </si>
  <si>
    <t>Rachel Allen</t>
  </si>
  <si>
    <t>Rs390.97</t>
  </si>
  <si>
    <t>Matthew Cox</t>
  </si>
  <si>
    <t>01/22/2026</t>
  </si>
  <si>
    <t>Alexander Horton</t>
  </si>
  <si>
    <t>Rs100.2</t>
  </si>
  <si>
    <t>Melissa Berry MD</t>
  </si>
  <si>
    <t>10/16/2024</t>
  </si>
  <si>
    <t>Kathryn Hooper</t>
  </si>
  <si>
    <t>Â£462.97</t>
  </si>
  <si>
    <t>Zachary Frazier</t>
  </si>
  <si>
    <t>Tamara Thompson</t>
  </si>
  <si>
    <t>$481.92</t>
  </si>
  <si>
    <t>Jose Bryant</t>
  </si>
  <si>
    <t>Ryan Lopez</t>
  </si>
  <si>
    <t>Â£350.41</t>
  </si>
  <si>
    <t>Thomas Smith</t>
  </si>
  <si>
    <t>Kenneth Turner</t>
  </si>
  <si>
    <t>Rs392.87</t>
  </si>
  <si>
    <t>Jason Harrington</t>
  </si>
  <si>
    <t>07/14/2025</t>
  </si>
  <si>
    <t>Stacey Miller</t>
  </si>
  <si>
    <t>Autumn Griffin</t>
  </si>
  <si>
    <t>Isabel Harris</t>
  </si>
  <si>
    <t>$202.41</t>
  </si>
  <si>
    <t>Adam Shelton</t>
  </si>
  <si>
    <t>Mary Thompson</t>
  </si>
  <si>
    <t>$225.1</t>
  </si>
  <si>
    <t>Amber Trevino</t>
  </si>
  <si>
    <t>Sarah Holder</t>
  </si>
  <si>
    <t>Jamie Aguilar</t>
  </si>
  <si>
    <t>Michael Duke</t>
  </si>
  <si>
    <t>â‚¬400.01</t>
  </si>
  <si>
    <t>Alyssa Lucas</t>
  </si>
  <si>
    <t>Daniel Ryan</t>
  </si>
  <si>
    <t>$400.52</t>
  </si>
  <si>
    <t>Theresa Young</t>
  </si>
  <si>
    <t>10/15/2025</t>
  </si>
  <si>
    <t>Brenda Booth</t>
  </si>
  <si>
    <t>Â£152.7</t>
  </si>
  <si>
    <t>Donna Clark</t>
  </si>
  <si>
    <t>Joanne Adams</t>
  </si>
  <si>
    <t>â‚¬154.68</t>
  </si>
  <si>
    <t>Michael White</t>
  </si>
  <si>
    <t>Seth Ramirez</t>
  </si>
  <si>
    <t>$300.71</t>
  </si>
  <si>
    <t>Jessica Johnson</t>
  </si>
  <si>
    <t>Kevin Weaver</t>
  </si>
  <si>
    <t>Â£166.59</t>
  </si>
  <si>
    <t>Victor Anderson MD</t>
  </si>
  <si>
    <t>Dr. William Terry</t>
  </si>
  <si>
    <t>Â£357.83</t>
  </si>
  <si>
    <t>Jodi Floyd</t>
  </si>
  <si>
    <t>Brett Arnold</t>
  </si>
  <si>
    <t>Rs458.11</t>
  </si>
  <si>
    <t>Bradley Leach</t>
  </si>
  <si>
    <t>11/13/2025</t>
  </si>
  <si>
    <t>12/13/2024</t>
  </si>
  <si>
    <t>Amanda Flores</t>
  </si>
  <si>
    <t>â‚¬85.07</t>
  </si>
  <si>
    <t>Stephen Butler</t>
  </si>
  <si>
    <t>Shannon Martinez</t>
  </si>
  <si>
    <t>Â£209.67</t>
  </si>
  <si>
    <t>Jennifer Martin</t>
  </si>
  <si>
    <t>Jeffery Smith</t>
  </si>
  <si>
    <t>Â£239.39</t>
  </si>
  <si>
    <t>Janet Gordon</t>
  </si>
  <si>
    <t>Rs398.73</t>
  </si>
  <si>
    <t>Susan Bautista</t>
  </si>
  <si>
    <t>Michael Schmidt</t>
  </si>
  <si>
    <t>â‚¬325.86</t>
  </si>
  <si>
    <t>Steve Ramirez</t>
  </si>
  <si>
    <t>Michelle Jones</t>
  </si>
  <si>
    <t>$451.11</t>
  </si>
  <si>
    <t>Kristine Logan</t>
  </si>
  <si>
    <t>Regina Cox</t>
  </si>
  <si>
    <t>Â£416.39</t>
  </si>
  <si>
    <t>Janet Lewis</t>
  </si>
  <si>
    <t>Gregory Neal</t>
  </si>
  <si>
    <t>â‚¬303.42</t>
  </si>
  <si>
    <t>Phillip Blevins</t>
  </si>
  <si>
    <t>Darryl Garcia</t>
  </si>
  <si>
    <t>$124.85</t>
  </si>
  <si>
    <t>Robert Mason</t>
  </si>
  <si>
    <t>Steven Mercer</t>
  </si>
  <si>
    <t>$370.37</t>
  </si>
  <si>
    <t>Rachel Nguyen</t>
  </si>
  <si>
    <t>John Wolf</t>
  </si>
  <si>
    <t>Rs416.85</t>
  </si>
  <si>
    <t>John Nguyen</t>
  </si>
  <si>
    <t>David Robertson</t>
  </si>
  <si>
    <t>Jennifer Stevens</t>
  </si>
  <si>
    <t>06/16/2025</t>
  </si>
  <si>
    <t>Joseph Park</t>
  </si>
  <si>
    <t>Â£231.18</t>
  </si>
  <si>
    <t>Matthew Davis</t>
  </si>
  <si>
    <t>Megan Lopez</t>
  </si>
  <si>
    <t>Rs119.4</t>
  </si>
  <si>
    <t>Ashley Daniels</t>
  </si>
  <si>
    <t>Robert Davies</t>
  </si>
  <si>
    <t>$63.38</t>
  </si>
  <si>
    <t>Dana Park</t>
  </si>
  <si>
    <t>Christopher Garrett</t>
  </si>
  <si>
    <t>Rs341.27</t>
  </si>
  <si>
    <t>Michael Short</t>
  </si>
  <si>
    <t>Charles Hess</t>
  </si>
  <si>
    <t>$483.19</t>
  </si>
  <si>
    <t>Anthony Mitchell</t>
  </si>
  <si>
    <t>Theresa Osborne</t>
  </si>
  <si>
    <t>â‚¬371.49</t>
  </si>
  <si>
    <t>Jamie Peck</t>
  </si>
  <si>
    <t>Lisa Garcia</t>
  </si>
  <si>
    <t>â‚¬406.43</t>
  </si>
  <si>
    <t>Kelsey Kelly</t>
  </si>
  <si>
    <t>06/19/2025</t>
  </si>
  <si>
    <t>Denise Hall</t>
  </si>
  <si>
    <t>â‚¬334.38</t>
  </si>
  <si>
    <t>Allison Mcgrath</t>
  </si>
  <si>
    <t>Morgan Mccoy</t>
  </si>
  <si>
    <t>Rs125.6</t>
  </si>
  <si>
    <t>Denise Anderson</t>
  </si>
  <si>
    <t>Timothy Beasley</t>
  </si>
  <si>
    <t>Â£377.85</t>
  </si>
  <si>
    <t>Louis Thomas</t>
  </si>
  <si>
    <t>04/23/2024</t>
  </si>
  <si>
    <t>Michelle Carter</t>
  </si>
  <si>
    <t>Â£450.24</t>
  </si>
  <si>
    <t>Sarah Taylor</t>
  </si>
  <si>
    <t>10/30/2024</t>
  </si>
  <si>
    <t>Christopher Sexton</t>
  </si>
  <si>
    <t>â‚¬382.81</t>
  </si>
  <si>
    <t>Dustin Perry</t>
  </si>
  <si>
    <t>Adam Moore</t>
  </si>
  <si>
    <t>$424.21</t>
  </si>
  <si>
    <t>Shawn Tucker</t>
  </si>
  <si>
    <t>Melissa Schmidt</t>
  </si>
  <si>
    <t>â‚¬258.38</t>
  </si>
  <si>
    <t>Rachel Russo</t>
  </si>
  <si>
    <t>08/27/2025</t>
  </si>
  <si>
    <t>Christine Wilson</t>
  </si>
  <si>
    <t>Rs366.15</t>
  </si>
  <si>
    <t>Dana Martinez</t>
  </si>
  <si>
    <t>Barry Bennett</t>
  </si>
  <si>
    <t>Rs466.92</t>
  </si>
  <si>
    <t>Shane Fowler</t>
  </si>
  <si>
    <t>Kimberly Douglas</t>
  </si>
  <si>
    <t>Â£114.67</t>
  </si>
  <si>
    <t>Kimberly Robinson</t>
  </si>
  <si>
    <t>Michael Wright</t>
  </si>
  <si>
    <t>Rs71.67</t>
  </si>
  <si>
    <t>Robert Rodriguez</t>
  </si>
  <si>
    <t>Stephanie Douglas</t>
  </si>
  <si>
    <t>Rs264.27</t>
  </si>
  <si>
    <t>Rita Joyce</t>
  </si>
  <si>
    <t>Diana Neal</t>
  </si>
  <si>
    <t>Rs92.45</t>
  </si>
  <si>
    <t>Kimberly Meyer</t>
  </si>
  <si>
    <t>Christopher Perez</t>
  </si>
  <si>
    <t>Rs441.33</t>
  </si>
  <si>
    <t>Kelly Morris</t>
  </si>
  <si>
    <t>Matthew Mccann</t>
  </si>
  <si>
    <t>Rs258.78</t>
  </si>
  <si>
    <t>Kevin Thompson</t>
  </si>
  <si>
    <t>Lynn Cruz</t>
  </si>
  <si>
    <t>Rs156.71</t>
  </si>
  <si>
    <t>April Braun</t>
  </si>
  <si>
    <t>04/16/2024</t>
  </si>
  <si>
    <t>Jacob Mendoza</t>
  </si>
  <si>
    <t>Rs110.47</t>
  </si>
  <si>
    <t>Alejandro Lopez</t>
  </si>
  <si>
    <t>Brian Bowman</t>
  </si>
  <si>
    <t>â‚¬361.32</t>
  </si>
  <si>
    <t>Scott Bishop</t>
  </si>
  <si>
    <t>07/27/2024</t>
  </si>
  <si>
    <t>Dylan Gibson</t>
  </si>
  <si>
    <t>â‚¬405.85</t>
  </si>
  <si>
    <t>Steven Baldwin</t>
  </si>
  <si>
    <t>04/14/2024</t>
  </si>
  <si>
    <t>Lori Reid</t>
  </si>
  <si>
    <t>Rs496.78</t>
  </si>
  <si>
    <t>Randy Austin</t>
  </si>
  <si>
    <t>Dr. Deborah Fitzgerald</t>
  </si>
  <si>
    <t>$364.33</t>
  </si>
  <si>
    <t>Anthony Martin</t>
  </si>
  <si>
    <t>Alex Richards</t>
  </si>
  <si>
    <t>Rs119.63</t>
  </si>
  <si>
    <t>Patricia Ramsey</t>
  </si>
  <si>
    <t>11/27/2024</t>
  </si>
  <si>
    <t>Jennifer Tanner</t>
  </si>
  <si>
    <t>Â£399.55</t>
  </si>
  <si>
    <t>Lauren Gardner</t>
  </si>
  <si>
    <t>Alison Castro</t>
  </si>
  <si>
    <t>Rs186.4</t>
  </si>
  <si>
    <t>Daniel Willis</t>
  </si>
  <si>
    <t>Megan Austin</t>
  </si>
  <si>
    <t>Rs234.99</t>
  </si>
  <si>
    <t>Shawn Moore</t>
  </si>
  <si>
    <t>Rebecca Ward</t>
  </si>
  <si>
    <t>Rs316.26</t>
  </si>
  <si>
    <t>Sherry Wilson</t>
  </si>
  <si>
    <t>Pamela Wiley</t>
  </si>
  <si>
    <t>Rs129.91</t>
  </si>
  <si>
    <t>Teresa Peters</t>
  </si>
  <si>
    <t>Tracey Johnson</t>
  </si>
  <si>
    <t>â‚¬468.01</t>
  </si>
  <si>
    <t>Nicole Evans</t>
  </si>
  <si>
    <t>Ashley Cuevas</t>
  </si>
  <si>
    <t>Rs459.41</t>
  </si>
  <si>
    <t>Brandon Sanders</t>
  </si>
  <si>
    <t>Amy Dunlap</t>
  </si>
  <si>
    <t>â‚¬370.25</t>
  </si>
  <si>
    <t>Samantha Wallace</t>
  </si>
  <si>
    <t>06/28/2025</t>
  </si>
  <si>
    <t>Charles Jackson</t>
  </si>
  <si>
    <t>Rs145.83</t>
  </si>
  <si>
    <t>Jared Butler</t>
  </si>
  <si>
    <t>Jason Morales</t>
  </si>
  <si>
    <t>Tracey Beck</t>
  </si>
  <si>
    <t>09/20/2024</t>
  </si>
  <si>
    <t>Logan Cooper</t>
  </si>
  <si>
    <t>$184.28</t>
  </si>
  <si>
    <t>Brianna Mcpherson</t>
  </si>
  <si>
    <t>05/13/2025</t>
  </si>
  <si>
    <t>Nathaniel Thompson</t>
  </si>
  <si>
    <t>Â£109.61</t>
  </si>
  <si>
    <t>Ray Mcbride</t>
  </si>
  <si>
    <t>Natalie Turner</t>
  </si>
  <si>
    <t>$135.41</t>
  </si>
  <si>
    <t>Tammy Thomas</t>
  </si>
  <si>
    <t>Kurt Cain</t>
  </si>
  <si>
    <t>Â£109.02</t>
  </si>
  <si>
    <t>Kelly Mason</t>
  </si>
  <si>
    <t>02/17/2026</t>
  </si>
  <si>
    <t>Laura Edwards</t>
  </si>
  <si>
    <t>$205.16</t>
  </si>
  <si>
    <t>Nicholas Kelly</t>
  </si>
  <si>
    <t>Paula Freeman</t>
  </si>
  <si>
    <t>Anne Jones DVM</t>
  </si>
  <si>
    <t>Linda French</t>
  </si>
  <si>
    <t>$296.43</t>
  </si>
  <si>
    <t>Andrea Mendez</t>
  </si>
  <si>
    <t>Joshua Reed</t>
  </si>
  <si>
    <t>$233.98</t>
  </si>
  <si>
    <t>Jennifer Schwartz</t>
  </si>
  <si>
    <t>08/14/2024</t>
  </si>
  <si>
    <t>Mrs. Michelle Ramsey</t>
  </si>
  <si>
    <t>â‚¬474.34</t>
  </si>
  <si>
    <t>Zachary Cross</t>
  </si>
  <si>
    <t>Toni Rodriguez</t>
  </si>
  <si>
    <t>Â£317.84</t>
  </si>
  <si>
    <t>Andrea Murray</t>
  </si>
  <si>
    <t>Alexa Martin</t>
  </si>
  <si>
    <t>Rs435.55</t>
  </si>
  <si>
    <t>Michele Green</t>
  </si>
  <si>
    <t>Rs88.58</t>
  </si>
  <si>
    <t>Summer Bishop</t>
  </si>
  <si>
    <t>Cynthia Green</t>
  </si>
  <si>
    <t>Daniel Braun</t>
  </si>
  <si>
    <t>Tonya Kennedy</t>
  </si>
  <si>
    <t>â‚¬252.38</t>
  </si>
  <si>
    <t>Kyle Jones</t>
  </si>
  <si>
    <t>Cheryl Mullins</t>
  </si>
  <si>
    <t>$366.49</t>
  </si>
  <si>
    <t>Erin Baker</t>
  </si>
  <si>
    <t>Carla King</t>
  </si>
  <si>
    <t>Rs239.5</t>
  </si>
  <si>
    <t>Cheryl Calderon</t>
  </si>
  <si>
    <t>02/23/2026</t>
  </si>
  <si>
    <t>Michael Adams</t>
  </si>
  <si>
    <t>Rs55.55</t>
  </si>
  <si>
    <t>Andrea Mcbride</t>
  </si>
  <si>
    <t>Laura Newman</t>
  </si>
  <si>
    <t>Â£112.28</t>
  </si>
  <si>
    <t>Danielle Barrett</t>
  </si>
  <si>
    <t>Gregory Griffin</t>
  </si>
  <si>
    <t>Rs386.16</t>
  </si>
  <si>
    <t>Madison Wilson</t>
  </si>
  <si>
    <t>Ryan Steele</t>
  </si>
  <si>
    <t>â‚¬230.73</t>
  </si>
  <si>
    <t>Thomas Crawford</t>
  </si>
  <si>
    <t>Ashley Shaw</t>
  </si>
  <si>
    <t>â‚¬296.85</t>
  </si>
  <si>
    <t>Sheila Thomas</t>
  </si>
  <si>
    <t>Catherine Gamble</t>
  </si>
  <si>
    <t>Â£64.79</t>
  </si>
  <si>
    <t>Daniel Long</t>
  </si>
  <si>
    <t>Jean Lawson DDS</t>
  </si>
  <si>
    <t>â‚¬101.1</t>
  </si>
  <si>
    <t>James Fox</t>
  </si>
  <si>
    <t>Victoria Osborne</t>
  </si>
  <si>
    <t>Rs204.86</t>
  </si>
  <si>
    <t>Evan Price</t>
  </si>
  <si>
    <t>Brooke Ramos</t>
  </si>
  <si>
    <t>$369.12</t>
  </si>
  <si>
    <t>Vanessa Graves</t>
  </si>
  <si>
    <t>Leslie Smith</t>
  </si>
  <si>
    <t>Rs474.33</t>
  </si>
  <si>
    <t>Barbara Drake</t>
  </si>
  <si>
    <t>Julie Jacobs</t>
  </si>
  <si>
    <t>â‚¬285.97</t>
  </si>
  <si>
    <t>Logan Gonzalez</t>
  </si>
  <si>
    <t>â‚¬209.27</t>
  </si>
  <si>
    <t>Brittney Gonzales</t>
  </si>
  <si>
    <t>12/20/2025</t>
  </si>
  <si>
    <t>Kimberly Caldwell</t>
  </si>
  <si>
    <t>Rs347.87</t>
  </si>
  <si>
    <t>Nichole Phillips</t>
  </si>
  <si>
    <t>Michael Jackson</t>
  </si>
  <si>
    <t>James Wise</t>
  </si>
  <si>
    <t>Karen Schmidt</t>
  </si>
  <si>
    <t>â‚¬98.07</t>
  </si>
  <si>
    <t>Logan Sampson</t>
  </si>
  <si>
    <t>12/31/2025</t>
  </si>
  <si>
    <t>Tiffany Melendez</t>
  </si>
  <si>
    <t>Rs154.03</t>
  </si>
  <si>
    <t>Tamara Ramirez MD</t>
  </si>
  <si>
    <t>12/23/2025</t>
  </si>
  <si>
    <t>Emily Mcintosh</t>
  </si>
  <si>
    <t>Â£126.87</t>
  </si>
  <si>
    <t>Sheryl Lopez</t>
  </si>
  <si>
    <t>08/26/2025</t>
  </si>
  <si>
    <t>Barbara Alvarado</t>
  </si>
  <si>
    <t>Shannon Ramos</t>
  </si>
  <si>
    <t>James Huber</t>
  </si>
  <si>
    <t>Daniel Vazquez</t>
  </si>
  <si>
    <t>Lisa Fry</t>
  </si>
  <si>
    <t>Â£194.82</t>
  </si>
  <si>
    <t>Kimberly Heath</t>
  </si>
  <si>
    <t>09/19/2025</t>
  </si>
  <si>
    <t>Amber Avila</t>
  </si>
  <si>
    <t>â‚¬145.75</t>
  </si>
  <si>
    <t>Tammy Yates</t>
  </si>
  <si>
    <t>Nancy Luna</t>
  </si>
  <si>
    <t>â‚¬58.55</t>
  </si>
  <si>
    <t>Alison Wolfe</t>
  </si>
  <si>
    <t>Michelle Thomas</t>
  </si>
  <si>
    <t>$481.22</t>
  </si>
  <si>
    <t>Natalie Miller</t>
  </si>
  <si>
    <t>Derrick Glass</t>
  </si>
  <si>
    <t>â‚¬56.37</t>
  </si>
  <si>
    <t>Kara Schneider</t>
  </si>
  <si>
    <t>Ivan Russo</t>
  </si>
  <si>
    <t>Â£456.26</t>
  </si>
  <si>
    <t>Kevin Jackson</t>
  </si>
  <si>
    <t>David Love</t>
  </si>
  <si>
    <t>$157.36</t>
  </si>
  <si>
    <t>Mary Werner</t>
  </si>
  <si>
    <t>07/22/2025</t>
  </si>
  <si>
    <t>Bonnie Walker</t>
  </si>
  <si>
    <t>$69.13</t>
  </si>
  <si>
    <t>Jennifer Barber</t>
  </si>
  <si>
    <t>Christopher Smith</t>
  </si>
  <si>
    <t>â‚¬56.63</t>
  </si>
  <si>
    <t>Emily Miller</t>
  </si>
  <si>
    <t>09/13/2024</t>
  </si>
  <si>
    <t>Nicole Bates</t>
  </si>
  <si>
    <t>$432.84</t>
  </si>
  <si>
    <t>Christine Lane</t>
  </si>
  <si>
    <t>Kimberly Long</t>
  </si>
  <si>
    <t>Â£208.8</t>
  </si>
  <si>
    <t>Gabriela Pope</t>
  </si>
  <si>
    <t>Melissa Brown</t>
  </si>
  <si>
    <t>$413.25</t>
  </si>
  <si>
    <t>Alexa Landry</t>
  </si>
  <si>
    <t>Larry Delgado</t>
  </si>
  <si>
    <t>$73.59</t>
  </si>
  <si>
    <t>Erica Thompson</t>
  </si>
  <si>
    <t>Jill Kelley</t>
  </si>
  <si>
    <t>Rs466.72</t>
  </si>
  <si>
    <t>James Noble</t>
  </si>
  <si>
    <t>06/25/2025</t>
  </si>
  <si>
    <t>Dylan George</t>
  </si>
  <si>
    <t>â‚¬213.67</t>
  </si>
  <si>
    <t>Sandra Russo</t>
  </si>
  <si>
    <t>Michael Alexander</t>
  </si>
  <si>
    <t>$156.9</t>
  </si>
  <si>
    <t>Robert Hampton</t>
  </si>
  <si>
    <t>Kevin Wilkinson</t>
  </si>
  <si>
    <t>Â£323.18</t>
  </si>
  <si>
    <t>Rachel Simmons</t>
  </si>
  <si>
    <t>Robert Sanchez</t>
  </si>
  <si>
    <t>$188.72</t>
  </si>
  <si>
    <t>Eduardo Martinez</t>
  </si>
  <si>
    <t>Craig Kelly</t>
  </si>
  <si>
    <t>Â£411.32</t>
  </si>
  <si>
    <t>Edward Taylor</t>
  </si>
  <si>
    <t>Yvette Johnson</t>
  </si>
  <si>
    <t>â‚¬388.8</t>
  </si>
  <si>
    <t>Ashley Martinez</t>
  </si>
  <si>
    <t>10/18/2024</t>
  </si>
  <si>
    <t>Spencer Torres</t>
  </si>
  <si>
    <t>$296.8</t>
  </si>
  <si>
    <t>Megan Edwards</t>
  </si>
  <si>
    <t>Eric Arellano</t>
  </si>
  <si>
    <t>â‚¬439.46</t>
  </si>
  <si>
    <t>Mr. Phillip Baxter</t>
  </si>
  <si>
    <t>07/24/2025</t>
  </si>
  <si>
    <t>01/16/2025</t>
  </si>
  <si>
    <t>Tricia Hunt</t>
  </si>
  <si>
    <t>$320.72</t>
  </si>
  <si>
    <t>Diana Schroeder</t>
  </si>
  <si>
    <t>Alexandra Lee</t>
  </si>
  <si>
    <t>$262.84</t>
  </si>
  <si>
    <t>12/19/2025</t>
  </si>
  <si>
    <t>Justin Chen</t>
  </si>
  <si>
    <t>Rs274.94</t>
  </si>
  <si>
    <t>Brian Garrett</t>
  </si>
  <si>
    <t>01/24/2026</t>
  </si>
  <si>
    <t>Tamara Williams</t>
  </si>
  <si>
    <t>Â£182.77</t>
  </si>
  <si>
    <t>Aaron Clay</t>
  </si>
  <si>
    <t>05/22/2025</t>
  </si>
  <si>
    <t>Timothy Barker</t>
  </si>
  <si>
    <t>â‚¬312.88</t>
  </si>
  <si>
    <t>Brian Bolton</t>
  </si>
  <si>
    <t>05/26/2024</t>
  </si>
  <si>
    <t>Natalie Patrick</t>
  </si>
  <si>
    <t>Â£163.58</t>
  </si>
  <si>
    <t>Karla Bush</t>
  </si>
  <si>
    <t>Victor Hernandez</t>
  </si>
  <si>
    <t>Rs135.85</t>
  </si>
  <si>
    <t>Michelle Edwards</t>
  </si>
  <si>
    <t>07/27/2025</t>
  </si>
  <si>
    <t>Charles Harvey</t>
  </si>
  <si>
    <t>Â£242.2</t>
  </si>
  <si>
    <t>Jack Sutton</t>
  </si>
  <si>
    <t>Paul Giles</t>
  </si>
  <si>
    <t>$374.72</t>
  </si>
  <si>
    <t>Joseph Hart</t>
  </si>
  <si>
    <t>Ralph Fernandez</t>
  </si>
  <si>
    <t>â‚¬326.58</t>
  </si>
  <si>
    <t>Rachel Carlson</t>
  </si>
  <si>
    <t>Paul Martinez</t>
  </si>
  <si>
    <t>$379.39</t>
  </si>
  <si>
    <t>Miss Stacey Weaver</t>
  </si>
  <si>
    <t>Rachel Wilson</t>
  </si>
  <si>
    <t>Rs442.41</t>
  </si>
  <si>
    <t>Steven Giles</t>
  </si>
  <si>
    <t>Kevin Vaughan</t>
  </si>
  <si>
    <t>â‚¬358.98</t>
  </si>
  <si>
    <t>Trevor Taylor</t>
  </si>
  <si>
    <t>William Schneider</t>
  </si>
  <si>
    <t>Â£235.74</t>
  </si>
  <si>
    <t>Erica Robbins</t>
  </si>
  <si>
    <t>Matthew Carlson</t>
  </si>
  <si>
    <t>$400.6</t>
  </si>
  <si>
    <t>Alexander Rios</t>
  </si>
  <si>
    <t>07/22/2024</t>
  </si>
  <si>
    <t>Bryan Parker</t>
  </si>
  <si>
    <t>â‚¬305.19</t>
  </si>
  <si>
    <t>Jennifer Reese</t>
  </si>
  <si>
    <t>James Aguilar</t>
  </si>
  <si>
    <t>Â£357.15</t>
  </si>
  <si>
    <t>Daniel Valenzuela</t>
  </si>
  <si>
    <t>06/21/2025</t>
  </si>
  <si>
    <t>Karen Brewer</t>
  </si>
  <si>
    <t>$245.21</t>
  </si>
  <si>
    <t>Alexander Jones</t>
  </si>
  <si>
    <t>Mary Ward</t>
  </si>
  <si>
    <t>Rs498.26</t>
  </si>
  <si>
    <t>Robert Myers DDS</t>
  </si>
  <si>
    <t>Luis Smith</t>
  </si>
  <si>
    <t>Rs499.72</t>
  </si>
  <si>
    <t>Jennifer Sims</t>
  </si>
  <si>
    <t>Janet Coffey</t>
  </si>
  <si>
    <t>â‚¬315.71</t>
  </si>
  <si>
    <t>Jenna Williams</t>
  </si>
  <si>
    <t>Ryan Mitchell</t>
  </si>
  <si>
    <t>$149.33</t>
  </si>
  <si>
    <t>Jamie Nixon</t>
  </si>
  <si>
    <t>Scott Allen</t>
  </si>
  <si>
    <t>$412.82</t>
  </si>
  <si>
    <t>Maria Harris</t>
  </si>
  <si>
    <t>Henry Hall</t>
  </si>
  <si>
    <t>Â£372.5</t>
  </si>
  <si>
    <t>Angela Davis</t>
  </si>
  <si>
    <t>Danielle Meyer</t>
  </si>
  <si>
    <t>Â£60.76</t>
  </si>
  <si>
    <t>Alex Burns</t>
  </si>
  <si>
    <t>Raymond Bond</t>
  </si>
  <si>
    <t>â‚¬290.52</t>
  </si>
  <si>
    <t>Thomas Banks</t>
  </si>
  <si>
    <t>10/21/2025</t>
  </si>
  <si>
    <t>George Stevens</t>
  </si>
  <si>
    <t>Rs451.66</t>
  </si>
  <si>
    <t>Courtney Everett</t>
  </si>
  <si>
    <t>Ryan Chavez</t>
  </si>
  <si>
    <t>Â£260.91</t>
  </si>
  <si>
    <t>Lori Montgomery</t>
  </si>
  <si>
    <t>02/26/2026</t>
  </si>
  <si>
    <t>Christy Fisher</t>
  </si>
  <si>
    <t>$117.12</t>
  </si>
  <si>
    <t>Sarah Fuller</t>
  </si>
  <si>
    <t>Cody Ortega</t>
  </si>
  <si>
    <t>Rs460.11</t>
  </si>
  <si>
    <t>Julia Mckenzie</t>
  </si>
  <si>
    <t>Sarah Scott</t>
  </si>
  <si>
    <t>â‚¬91.94</t>
  </si>
  <si>
    <t>Eric Kim</t>
  </si>
  <si>
    <t>Arthur Harris</t>
  </si>
  <si>
    <t>Anne Jacobs</t>
  </si>
  <si>
    <t>01/28/2026</t>
  </si>
  <si>
    <t>Lauren Clark</t>
  </si>
  <si>
    <t>Â£347.38</t>
  </si>
  <si>
    <t>Brandy Navarro</t>
  </si>
  <si>
    <t>06/13/2025</t>
  </si>
  <si>
    <t>Matthew Nichols</t>
  </si>
  <si>
    <t>Rs288.43</t>
  </si>
  <si>
    <t>Jennifer Lowery</t>
  </si>
  <si>
    <t>09/16/2025</t>
  </si>
  <si>
    <t>Tracy Johnson</t>
  </si>
  <si>
    <t>â‚¬222.2</t>
  </si>
  <si>
    <t>Thomas Nash</t>
  </si>
  <si>
    <t>01/20/2025</t>
  </si>
  <si>
    <t>Justin Flores</t>
  </si>
  <si>
    <t>Rs180.6</t>
  </si>
  <si>
    <t>Yolanda Thomas</t>
  </si>
  <si>
    <t>Keith Lee</t>
  </si>
  <si>
    <t>Victor Simmons</t>
  </si>
  <si>
    <t>Christopher Nelson</t>
  </si>
  <si>
    <t>â‚¬485.31</t>
  </si>
  <si>
    <t>Edward Holland</t>
  </si>
  <si>
    <t>Joe Rodriguez</t>
  </si>
  <si>
    <t>Â£255.9</t>
  </si>
  <si>
    <t>Mary Foster</t>
  </si>
  <si>
    <t>Terry Welch</t>
  </si>
  <si>
    <t>â‚¬443.13</t>
  </si>
  <si>
    <t>Michael Sullivan</t>
  </si>
  <si>
    <t>Angela Thomas</t>
  </si>
  <si>
    <t>Rs318.88</t>
  </si>
  <si>
    <t>Brandon Garcia</t>
  </si>
  <si>
    <t>$108.91</t>
  </si>
  <si>
    <t>Melissa Ramirez</t>
  </si>
  <si>
    <t>Amber Clayton</t>
  </si>
  <si>
    <t>Â£167.18</t>
  </si>
  <si>
    <t>Rachel Baker</t>
  </si>
  <si>
    <t>Maria Gentry</t>
  </si>
  <si>
    <t>Â£444.67</t>
  </si>
  <si>
    <t>Penny West</t>
  </si>
  <si>
    <t>Heather Ortiz</t>
  </si>
  <si>
    <t>$396.57</t>
  </si>
  <si>
    <t>Michelle Mcclain</t>
  </si>
  <si>
    <t>Mrs. Amy Miller</t>
  </si>
  <si>
    <t>Rs185.29</t>
  </si>
  <si>
    <t>Jennifer Davis</t>
  </si>
  <si>
    <t>Michael Bryant</t>
  </si>
  <si>
    <t>$215.89</t>
  </si>
  <si>
    <t>Kimberly Lee</t>
  </si>
  <si>
    <t>Vanessa Ramirez</t>
  </si>
  <si>
    <t>Â£438.81</t>
  </si>
  <si>
    <t>Paul Perez</t>
  </si>
  <si>
    <t>08/24/2025</t>
  </si>
  <si>
    <t>07/29/2025</t>
  </si>
  <si>
    <t>Nancy Young</t>
  </si>
  <si>
    <t>â‚¬231.7</t>
  </si>
  <si>
    <t>Tyler Smith</t>
  </si>
  <si>
    <t>Melinda Smith</t>
  </si>
  <si>
    <t>Anthony Boyd</t>
  </si>
  <si>
    <t>Bradley Gibson</t>
  </si>
  <si>
    <t>Â£173.85</t>
  </si>
  <si>
    <t>Henry Snyder</t>
  </si>
  <si>
    <t>04/29/2024</t>
  </si>
  <si>
    <t>Theresa Simon</t>
  </si>
  <si>
    <t>$285.44</t>
  </si>
  <si>
    <t>Sabrina Wade</t>
  </si>
  <si>
    <t>07/20/2025</t>
  </si>
  <si>
    <t>Randy Vargas</t>
  </si>
  <si>
    <t>Rs202.92</t>
  </si>
  <si>
    <t>Cody Scott</t>
  </si>
  <si>
    <t>Larry Cohen</t>
  </si>
  <si>
    <t>â‚¬383.47</t>
  </si>
  <si>
    <t>David Mcdonald</t>
  </si>
  <si>
    <t>12/24/2025</t>
  </si>
  <si>
    <t>08/30/2024</t>
  </si>
  <si>
    <t>Donald Garcia</t>
  </si>
  <si>
    <t>Â£302.66</t>
  </si>
  <si>
    <t>Sherri Guzman</t>
  </si>
  <si>
    <t>09/14/2025</t>
  </si>
  <si>
    <t>Carlos Morton</t>
  </si>
  <si>
    <t>Â£472.57</t>
  </si>
  <si>
    <t>Mr. Brian Anderson</t>
  </si>
  <si>
    <t>Adrienne Roberts</t>
  </si>
  <si>
    <t>â‚¬417.21</t>
  </si>
  <si>
    <t>Kayla Mccormick</t>
  </si>
  <si>
    <t>Robert Burton</t>
  </si>
  <si>
    <t>$244.68</t>
  </si>
  <si>
    <t>Mark Reeves</t>
  </si>
  <si>
    <t>Mark Hill</t>
  </si>
  <si>
    <t>$70.7</t>
  </si>
  <si>
    <t>Debra Short</t>
  </si>
  <si>
    <t>Karla Baker</t>
  </si>
  <si>
    <t>â‚¬386.37</t>
  </si>
  <si>
    <t>Melissa Richmond</t>
  </si>
  <si>
    <t>02/19/2025</t>
  </si>
  <si>
    <t>Jasmin Holmes</t>
  </si>
  <si>
    <t>$387.75</t>
  </si>
  <si>
    <t>Linda Murphy</t>
  </si>
  <si>
    <t>Margaret Montoya</t>
  </si>
  <si>
    <t>Rs176.68</t>
  </si>
  <si>
    <t>Michael Gonzales</t>
  </si>
  <si>
    <t>11/24/2024</t>
  </si>
  <si>
    <t>Richard Torres</t>
  </si>
  <si>
    <t>Rs491.64</t>
  </si>
  <si>
    <t>Samantha Garner</t>
  </si>
  <si>
    <t>Jacob Hobbs</t>
  </si>
  <si>
    <t>$325.91</t>
  </si>
  <si>
    <t>David Reeves</t>
  </si>
  <si>
    <t>Marc Copeland</t>
  </si>
  <si>
    <t>Tamara Smith</t>
  </si>
  <si>
    <t>$280.21</t>
  </si>
  <si>
    <t>William Conley</t>
  </si>
  <si>
    <t>09/27/2025</t>
  </si>
  <si>
    <t>Thomas Wallace</t>
  </si>
  <si>
    <t>Rs88.29</t>
  </si>
  <si>
    <t>Kelly Ayers</t>
  </si>
  <si>
    <t>Justin Taylor</t>
  </si>
  <si>
    <t>$443.75</t>
  </si>
  <si>
    <t>James Perry</t>
  </si>
  <si>
    <t>Leonard Campbell</t>
  </si>
  <si>
    <t>$385.61</t>
  </si>
  <si>
    <t>Steven Phelps</t>
  </si>
  <si>
    <t>Darren Williams</t>
  </si>
  <si>
    <t>Rs350.5</t>
  </si>
  <si>
    <t>Mark Daniels</t>
  </si>
  <si>
    <t>Kimberly Pierce</t>
  </si>
  <si>
    <t>$255.56</t>
  </si>
  <si>
    <t>Zachary Williams</t>
  </si>
  <si>
    <t>Selena Brown</t>
  </si>
  <si>
    <t>Â£458.83</t>
  </si>
  <si>
    <t>Carly Ford</t>
  </si>
  <si>
    <t>Scott Tran</t>
  </si>
  <si>
    <t>â‚¬138.29</t>
  </si>
  <si>
    <t>Elaine Williams</t>
  </si>
  <si>
    <t>05/23/2024</t>
  </si>
  <si>
    <t>Daniel Carlson</t>
  </si>
  <si>
    <t>Rs189.02</t>
  </si>
  <si>
    <t>Randy Wright</t>
  </si>
  <si>
    <t>Jennifer Banks</t>
  </si>
  <si>
    <t>â‚¬272.47</t>
  </si>
  <si>
    <t>Charles Foley</t>
  </si>
  <si>
    <t>Richard Arias</t>
  </si>
  <si>
    <t>â‚¬450.37</t>
  </si>
  <si>
    <t>Ryan Kennedy</t>
  </si>
  <si>
    <t>Scott Shannon</t>
  </si>
  <si>
    <t>$490.67</t>
  </si>
  <si>
    <t>Stephen Cox</t>
  </si>
  <si>
    <t>Joseph King</t>
  </si>
  <si>
    <t>Â£99.17</t>
  </si>
  <si>
    <t>Jennifer Jackson</t>
  </si>
  <si>
    <t>Frank Harrell</t>
  </si>
  <si>
    <t>$105.64</t>
  </si>
  <si>
    <t>Jessica Wilson</t>
  </si>
  <si>
    <t>03/20/2026</t>
  </si>
  <si>
    <t>Sharon Nash</t>
  </si>
  <si>
    <t>â‚¬437.18</t>
  </si>
  <si>
    <t>Brittany Wall</t>
  </si>
  <si>
    <t>Willie Dean</t>
  </si>
  <si>
    <t>Rs77.2</t>
  </si>
  <si>
    <t>Diane Adams</t>
  </si>
  <si>
    <t>Andrew Carroll</t>
  </si>
  <si>
    <t>â‚¬118.72</t>
  </si>
  <si>
    <t>Shawn Moon</t>
  </si>
  <si>
    <t>Sheila Williams</t>
  </si>
  <si>
    <t>â‚¬155.69</t>
  </si>
  <si>
    <t>Sharon Lopez</t>
  </si>
  <si>
    <t>Yolanda Richardson</t>
  </si>
  <si>
    <t>$487.57</t>
  </si>
  <si>
    <t>Timothy Ramirez</t>
  </si>
  <si>
    <t>Tiffany Shepherd</t>
  </si>
  <si>
    <t>Rs412.44</t>
  </si>
  <si>
    <t>Daniel Marshall</t>
  </si>
  <si>
    <t>Lisa Taylor</t>
  </si>
  <si>
    <t>Â£297.5</t>
  </si>
  <si>
    <t>Andre Pitts</t>
  </si>
  <si>
    <t>Donna Sandoval</t>
  </si>
  <si>
    <t>â‚¬481.4</t>
  </si>
  <si>
    <t>Mary Garcia</t>
  </si>
  <si>
    <t>Brianna Ortega</t>
  </si>
  <si>
    <t>$252.53</t>
  </si>
  <si>
    <t>Lawrence Ford</t>
  </si>
  <si>
    <t>Randall Watts</t>
  </si>
  <si>
    <t>â‚¬167.8</t>
  </si>
  <si>
    <t>Monica Mcclure</t>
  </si>
  <si>
    <t>Martha Byrd</t>
  </si>
  <si>
    <t>Rs347.94</t>
  </si>
  <si>
    <t>Troy Richards</t>
  </si>
  <si>
    <t>Thomas Baker</t>
  </si>
  <si>
    <t>Â£305.02</t>
  </si>
  <si>
    <t>Anna Rowe</t>
  </si>
  <si>
    <t>Judith Preston</t>
  </si>
  <si>
    <t>â‚¬83.61</t>
  </si>
  <si>
    <t>Michael Espinoza</t>
  </si>
  <si>
    <t>Amber King</t>
  </si>
  <si>
    <t>Â£360.39</t>
  </si>
  <si>
    <t>Kenneth Dixon</t>
  </si>
  <si>
    <t>Sandra Sloan</t>
  </si>
  <si>
    <t>â‚¬402.4</t>
  </si>
  <si>
    <t>Justin Ortiz</t>
  </si>
  <si>
    <t>03/30/2025</t>
  </si>
  <si>
    <t>Russell Myers</t>
  </si>
  <si>
    <t>Â£234.26</t>
  </si>
  <si>
    <t>Melissa Wagner</t>
  </si>
  <si>
    <t>Megan Garcia</t>
  </si>
  <si>
    <t>Rs219.5</t>
  </si>
  <si>
    <t>Jamie Miller</t>
  </si>
  <si>
    <t>Gloria Perez</t>
  </si>
  <si>
    <t>â‚¬191.19</t>
  </si>
  <si>
    <t>Cynthia Jones</t>
  </si>
  <si>
    <t>05/31/2025</t>
  </si>
  <si>
    <t>Eugene Little</t>
  </si>
  <si>
    <t>Rs318.15</t>
  </si>
  <si>
    <t>Henry Quinn</t>
  </si>
  <si>
    <t>Audrey Hansen</t>
  </si>
  <si>
    <t>$350.0</t>
  </si>
  <si>
    <t>Jake Robinson</t>
  </si>
  <si>
    <t>Nathan Quinn</t>
  </si>
  <si>
    <t>Rs178.28</t>
  </si>
  <si>
    <t>Kimberly Morrison</t>
  </si>
  <si>
    <t>Brian Young</t>
  </si>
  <si>
    <t>$248.31</t>
  </si>
  <si>
    <t>Ricardo White</t>
  </si>
  <si>
    <t>Tanya Barker</t>
  </si>
  <si>
    <t>Rs352.72</t>
  </si>
  <si>
    <t>Cynthia Richard</t>
  </si>
  <si>
    <t>03/17/2026</t>
  </si>
  <si>
    <t>Scott King</t>
  </si>
  <si>
    <t>â‚¬208.03</t>
  </si>
  <si>
    <t>David Thompson</t>
  </si>
  <si>
    <t>Derek Velazquez</t>
  </si>
  <si>
    <t>Â£116.75</t>
  </si>
  <si>
    <t>Mary Moon</t>
  </si>
  <si>
    <t>10/13/2025</t>
  </si>
  <si>
    <t>Ernest Rodriguez</t>
  </si>
  <si>
    <t>â‚¬91.29</t>
  </si>
  <si>
    <t>John Gallagher</t>
  </si>
  <si>
    <t>Kara Austin</t>
  </si>
  <si>
    <t>â‚¬198.61</t>
  </si>
  <si>
    <t>Benjamin Allen</t>
  </si>
  <si>
    <t>Richard Johnson</t>
  </si>
  <si>
    <t>â‚¬257.17</t>
  </si>
  <si>
    <t>Abigail Holt</t>
  </si>
  <si>
    <t>Jacob Mays</t>
  </si>
  <si>
    <t>$343.79</t>
  </si>
  <si>
    <t>Katherine Rogers</t>
  </si>
  <si>
    <t>01/15/2025</t>
  </si>
  <si>
    <t>Morgan Edwards</t>
  </si>
  <si>
    <t>$431.21</t>
  </si>
  <si>
    <t>Jason Larson</t>
  </si>
  <si>
    <t>Helen Davis</t>
  </si>
  <si>
    <t>Â£241.91</t>
  </si>
  <si>
    <t>Jesse Robertson</t>
  </si>
  <si>
    <t>Rebecca Gross</t>
  </si>
  <si>
    <t>â‚¬95.25</t>
  </si>
  <si>
    <t>Tyler Trujillo</t>
  </si>
  <si>
    <t>Andrea Walsh</t>
  </si>
  <si>
    <t>Â£167.07</t>
  </si>
  <si>
    <t>Travis Rodriguez</t>
  </si>
  <si>
    <t>â‚¬426.64</t>
  </si>
  <si>
    <t>Darren Alvarado</t>
  </si>
  <si>
    <t>Spencer Booth</t>
  </si>
  <si>
    <t>â‚¬106.8</t>
  </si>
  <si>
    <t>Troy Marshall</t>
  </si>
  <si>
    <t>Benjamin Robinson</t>
  </si>
  <si>
    <t>$478.18</t>
  </si>
  <si>
    <t>Corey Turner</t>
  </si>
  <si>
    <t>Heidi Baker</t>
  </si>
  <si>
    <t>Rs435.1</t>
  </si>
  <si>
    <t>Ashley Wright</t>
  </si>
  <si>
    <t>Kristen Lopez</t>
  </si>
  <si>
    <t>â‚¬403.22</t>
  </si>
  <si>
    <t>Jose Bauer</t>
  </si>
  <si>
    <t>Reginald Barrett</t>
  </si>
  <si>
    <t>â‚¬390.81</t>
  </si>
  <si>
    <t>Jared Lester</t>
  </si>
  <si>
    <t>David Espinoza</t>
  </si>
  <si>
    <t>Â£310.42</t>
  </si>
  <si>
    <t>Jeffrey Martinez</t>
  </si>
  <si>
    <t>Michael Ross</t>
  </si>
  <si>
    <t>$469.3</t>
  </si>
  <si>
    <t>Christopher Massey</t>
  </si>
  <si>
    <t>07/15/2025</t>
  </si>
  <si>
    <t>William Moore</t>
  </si>
  <si>
    <t>â‚¬495.94</t>
  </si>
  <si>
    <t>Erin Small</t>
  </si>
  <si>
    <t>Jeff Lane</t>
  </si>
  <si>
    <t>â‚¬403.87</t>
  </si>
  <si>
    <t>Pamela Dalton</t>
  </si>
  <si>
    <t>Christopher Jones</t>
  </si>
  <si>
    <t>Rs466.56</t>
  </si>
  <si>
    <t>Rebecca Parrish</t>
  </si>
  <si>
    <t>Jordan Shelton</t>
  </si>
  <si>
    <t>$163.52</t>
  </si>
  <si>
    <t>Dominic Bell</t>
  </si>
  <si>
    <t>April Castillo</t>
  </si>
  <si>
    <t>Rs356.13</t>
  </si>
  <si>
    <t>Gregory Arellano</t>
  </si>
  <si>
    <t>Natalie Smith</t>
  </si>
  <si>
    <t>$400.62</t>
  </si>
  <si>
    <t>Laura Chan</t>
  </si>
  <si>
    <t>Reginald Miller</t>
  </si>
  <si>
    <t>$177.93</t>
  </si>
  <si>
    <t>Michael Watkins</t>
  </si>
  <si>
    <t>Brian Deleon</t>
  </si>
  <si>
    <t>Â£313.04</t>
  </si>
  <si>
    <t>Daniel Garrett</t>
  </si>
  <si>
    <t>Francisco Steele</t>
  </si>
  <si>
    <t>Â£424.5</t>
  </si>
  <si>
    <t>Ronald Gonzalez</t>
  </si>
  <si>
    <t>Crystal Mueller</t>
  </si>
  <si>
    <t>Rs222.37</t>
  </si>
  <si>
    <t>Charles Green</t>
  </si>
  <si>
    <t>Lisa Hoffman</t>
  </si>
  <si>
    <t>â‚¬349.49</t>
  </si>
  <si>
    <t>Allison Ramos</t>
  </si>
  <si>
    <t>12/16/2024</t>
  </si>
  <si>
    <t>Chase Ford</t>
  </si>
  <si>
    <t>$482.2</t>
  </si>
  <si>
    <t>Christopher Brown</t>
  </si>
  <si>
    <t>Henry Moore</t>
  </si>
  <si>
    <t>Rs92.08</t>
  </si>
  <si>
    <t>Barbara Holland</t>
  </si>
  <si>
    <t>Chelsea Aguirre</t>
  </si>
  <si>
    <t>â‚¬439.56</t>
  </si>
  <si>
    <t>Matthew Herrera</t>
  </si>
  <si>
    <t>05/26/2025</t>
  </si>
  <si>
    <t>Cody Murray</t>
  </si>
  <si>
    <t>Rs473.48</t>
  </si>
  <si>
    <t>Valerie Vaughn</t>
  </si>
  <si>
    <t>Felicia Warner</t>
  </si>
  <si>
    <t>Tiffany Miller</t>
  </si>
  <si>
    <t>Melissa Bradley</t>
  </si>
  <si>
    <t>â‚¬151.02</t>
  </si>
  <si>
    <t>Cassandra Cain</t>
  </si>
  <si>
    <t>Jessica Williams</t>
  </si>
  <si>
    <t>Rs79.59</t>
  </si>
  <si>
    <t>Glen Arroyo</t>
  </si>
  <si>
    <t>Christopher Schneider</t>
  </si>
  <si>
    <t>Â£167.31</t>
  </si>
  <si>
    <t>Kimberly Hill</t>
  </si>
  <si>
    <t>Kenneth Long</t>
  </si>
  <si>
    <t>Rs194.81</t>
  </si>
  <si>
    <t>Erik Martinez</t>
  </si>
  <si>
    <t>10/28/2025</t>
  </si>
  <si>
    <t>Jennifer Carroll</t>
  </si>
  <si>
    <t>$97.67</t>
  </si>
  <si>
    <t>Michael Bradley</t>
  </si>
  <si>
    <t>Carl Gomez</t>
  </si>
  <si>
    <t>Â£254.91</t>
  </si>
  <si>
    <t>Rebecca Carey DDS</t>
  </si>
  <si>
    <t>David Carter</t>
  </si>
  <si>
    <t>$169.09</t>
  </si>
  <si>
    <t>Tammy Nelson</t>
  </si>
  <si>
    <t>04/15/2024</t>
  </si>
  <si>
    <t>Angel Aguilar</t>
  </si>
  <si>
    <t>Heidi Alvarez</t>
  </si>
  <si>
    <t>06/30/2025</t>
  </si>
  <si>
    <t>Jeremy Wilson</t>
  </si>
  <si>
    <t>Rs94.19</t>
  </si>
  <si>
    <t>Robert Edwards</t>
  </si>
  <si>
    <t>Ashley Gonzalez</t>
  </si>
  <si>
    <t>Â£84.87</t>
  </si>
  <si>
    <t>Bryan Fritz</t>
  </si>
  <si>
    <t>Kelsey Hernandez</t>
  </si>
  <si>
    <t>$338.43</t>
  </si>
  <si>
    <t>Donald Reed</t>
  </si>
  <si>
    <t>Danny Webster</t>
  </si>
  <si>
    <t>$453.66</t>
  </si>
  <si>
    <t>Alejandra Perkins</t>
  </si>
  <si>
    <t>Daniel Dickerson</t>
  </si>
  <si>
    <t>Jonathan Drake</t>
  </si>
  <si>
    <t>Andrew Johnson</t>
  </si>
  <si>
    <t>Â£328.88</t>
  </si>
  <si>
    <t>Sandra Wood</t>
  </si>
  <si>
    <t>Brian Armstrong</t>
  </si>
  <si>
    <t>Â£51.93</t>
  </si>
  <si>
    <t>Alexis Moody</t>
  </si>
  <si>
    <t>05/29/2025</t>
  </si>
  <si>
    <t>Jennifer Reyes</t>
  </si>
  <si>
    <t>Rs201.8</t>
  </si>
  <si>
    <t>Carol Williams</t>
  </si>
  <si>
    <t>Joshua Gomez</t>
  </si>
  <si>
    <t>$129.1</t>
  </si>
  <si>
    <t>Kimberly Adkins</t>
  </si>
  <si>
    <t>Tamara Rivera</t>
  </si>
  <si>
    <t>Tracie Jefferson</t>
  </si>
  <si>
    <t>Margaret Robinson</t>
  </si>
  <si>
    <t>$153.53</t>
  </si>
  <si>
    <t>Aaron Young</t>
  </si>
  <si>
    <t>Wendy Cochran</t>
  </si>
  <si>
    <t>Rs222.33</t>
  </si>
  <si>
    <t>Terry Dennis</t>
  </si>
  <si>
    <t>Kelsey Scott</t>
  </si>
  <si>
    <t>Rs403.78</t>
  </si>
  <si>
    <t>Michael Newman MD</t>
  </si>
  <si>
    <t>Ronald Santos</t>
  </si>
  <si>
    <t>$343.21</t>
  </si>
  <si>
    <t>Kristin Terry</t>
  </si>
  <si>
    <t>Michael Brown</t>
  </si>
  <si>
    <t>Â£67.97</t>
  </si>
  <si>
    <t>Nicole Green</t>
  </si>
  <si>
    <t>Charles Owens</t>
  </si>
  <si>
    <t>Rs365.21</t>
  </si>
  <si>
    <t>Tina Cook</t>
  </si>
  <si>
    <t>09/28/2024</t>
  </si>
  <si>
    <t>Paul Allen</t>
  </si>
  <si>
    <t>Â£269.53</t>
  </si>
  <si>
    <t>Robin Donovan</t>
  </si>
  <si>
    <t>Brian Brown</t>
  </si>
  <si>
    <t>$163.58</t>
  </si>
  <si>
    <t>Bryan Meyers</t>
  </si>
  <si>
    <t>Michael Trevino</t>
  </si>
  <si>
    <t>Rs499.36</t>
  </si>
  <si>
    <t>Deanna Manning</t>
  </si>
  <si>
    <t>Austin Stout</t>
  </si>
  <si>
    <t>Rs101.37</t>
  </si>
  <si>
    <t>Linda Miller</t>
  </si>
  <si>
    <t>Patricia White</t>
  </si>
  <si>
    <t>Kathryn Bell</t>
  </si>
  <si>
    <t>Andre Carter</t>
  </si>
  <si>
    <t>Â£442.72</t>
  </si>
  <si>
    <t>Patrick Ewing</t>
  </si>
  <si>
    <t>Alexander Jackson</t>
  </si>
  <si>
    <t>Â£224.89</t>
  </si>
  <si>
    <t>Steven Henderson</t>
  </si>
  <si>
    <t>Nicole Martinez</t>
  </si>
  <si>
    <t>Rs163.4</t>
  </si>
  <si>
    <t>Michael Marquez</t>
  </si>
  <si>
    <t>07/28/2025</t>
  </si>
  <si>
    <t>Mr. Curtis Ortiz</t>
  </si>
  <si>
    <t>â‚¬202.98</t>
  </si>
  <si>
    <t>Brittany Thompson</t>
  </si>
  <si>
    <t>Wendy Davis</t>
  </si>
  <si>
    <t>Rs257.1</t>
  </si>
  <si>
    <t>Tracy Perez</t>
  </si>
  <si>
    <t>03/19/2026</t>
  </si>
  <si>
    <t>11/26/2025</t>
  </si>
  <si>
    <t>Lauren Rosario</t>
  </si>
  <si>
    <t>â‚¬466.87</t>
  </si>
  <si>
    <t>Morgan Torres</t>
  </si>
  <si>
    <t>April Lyons</t>
  </si>
  <si>
    <t>Jessica Price</t>
  </si>
  <si>
    <t>Justin Rice</t>
  </si>
  <si>
    <t>â‚¬490.78</t>
  </si>
  <si>
    <t>Kayla Williams</t>
  </si>
  <si>
    <t>Aaron Cooper</t>
  </si>
  <si>
    <t>Rs217.86</t>
  </si>
  <si>
    <t>Victoria Young</t>
  </si>
  <si>
    <t>Lauren Whitaker</t>
  </si>
  <si>
    <t>$174.04</t>
  </si>
  <si>
    <t>Roger Hatfield</t>
  </si>
  <si>
    <t>01/22/2025</t>
  </si>
  <si>
    <t>Victoria Lopez</t>
  </si>
  <si>
    <t>â‚¬196.21</t>
  </si>
  <si>
    <t>Robert Lewis</t>
  </si>
  <si>
    <t>Samantha Cameron</t>
  </si>
  <si>
    <t>Rs490.08</t>
  </si>
  <si>
    <t>Jeremiah Perez</t>
  </si>
  <si>
    <t>01/14/2025</t>
  </si>
  <si>
    <t>Michael Black</t>
  </si>
  <si>
    <t>$91.94</t>
  </si>
  <si>
    <t>Haley Mcintosh</t>
  </si>
  <si>
    <t>Amanda Boyd</t>
  </si>
  <si>
    <t>â‚¬484.82</t>
  </si>
  <si>
    <t>Kathy Rhodes</t>
  </si>
  <si>
    <t>Rachel Bright</t>
  </si>
  <si>
    <t>$175.26</t>
  </si>
  <si>
    <t>Louis Craig</t>
  </si>
  <si>
    <t>Rachel Wood</t>
  </si>
  <si>
    <t>Rs484.93</t>
  </si>
  <si>
    <t>Jenny Black</t>
  </si>
  <si>
    <t>Jamie Nunez</t>
  </si>
  <si>
    <t>$381.93</t>
  </si>
  <si>
    <t>Sarah Davis</t>
  </si>
  <si>
    <t>Rebecca Thompson</t>
  </si>
  <si>
    <t>Rs402.6</t>
  </si>
  <si>
    <t>Heidi Sosa</t>
  </si>
  <si>
    <t>Nancy Wilson</t>
  </si>
  <si>
    <t>Rs241.81</t>
  </si>
  <si>
    <t>Dalton Rodriguez</t>
  </si>
  <si>
    <t>Erica Sanchez</t>
  </si>
  <si>
    <t>Rs467.2</t>
  </si>
  <si>
    <t>Jacqueline West</t>
  </si>
  <si>
    <t>01/19/2026</t>
  </si>
  <si>
    <t>Steven Walker</t>
  </si>
  <si>
    <t>Â£148.74</t>
  </si>
  <si>
    <t>Sherri Barry</t>
  </si>
  <si>
    <t>08/29/2025</t>
  </si>
  <si>
    <t>Janet Schultz</t>
  </si>
  <si>
    <t>Â£109.72</t>
  </si>
  <si>
    <t>Lydia Russell</t>
  </si>
  <si>
    <t>11/16/2025</t>
  </si>
  <si>
    <t>Matthew Clark</t>
  </si>
  <si>
    <t>Â£477.53</t>
  </si>
  <si>
    <t>Alexander Hammond</t>
  </si>
  <si>
    <t>Tara Moore</t>
  </si>
  <si>
    <t>â‚¬286.71</t>
  </si>
  <si>
    <t>Nichole Anderson</t>
  </si>
  <si>
    <t>Richard Vega</t>
  </si>
  <si>
    <t>Â£316.89</t>
  </si>
  <si>
    <t>Jacqueline Peters</t>
  </si>
  <si>
    <t>Adam Jensen</t>
  </si>
  <si>
    <t>â‚¬266.74</t>
  </si>
  <si>
    <t>Kelly Hodge</t>
  </si>
  <si>
    <t>05/28/2025</t>
  </si>
  <si>
    <t>Terry Jones</t>
  </si>
  <si>
    <t>Â£175.09</t>
  </si>
  <si>
    <t>Brandi Boyd</t>
  </si>
  <si>
    <t>Mary Jacobson</t>
  </si>
  <si>
    <t>Rs96.2</t>
  </si>
  <si>
    <t>David Jones</t>
  </si>
  <si>
    <t>02/24/2026</t>
  </si>
  <si>
    <t>Dakota Fleming</t>
  </si>
  <si>
    <t>Rs443.12</t>
  </si>
  <si>
    <t>Zachary Lewis</t>
  </si>
  <si>
    <t>12/19/2024</t>
  </si>
  <si>
    <t>Gary Washington</t>
  </si>
  <si>
    <t>$351.94</t>
  </si>
  <si>
    <t>Andrea Anderson</t>
  </si>
  <si>
    <t>06/16/2024</t>
  </si>
  <si>
    <t>Mary Burgess</t>
  </si>
  <si>
    <t>$59.55</t>
  </si>
  <si>
    <t>Shawn Castillo</t>
  </si>
  <si>
    <t>Â£339.57</t>
  </si>
  <si>
    <t>Jerry Holmes</t>
  </si>
  <si>
    <t>Kim Daniels</t>
  </si>
  <si>
    <t>Rs344.57</t>
  </si>
  <si>
    <t>Kimberly Diaz</t>
  </si>
  <si>
    <t>David Guzman</t>
  </si>
  <si>
    <t>$197.72</t>
  </si>
  <si>
    <t>Katherine Olson</t>
  </si>
  <si>
    <t>03/21/2025</t>
  </si>
  <si>
    <t>Larry Roberts</t>
  </si>
  <si>
    <t>Â£202.68</t>
  </si>
  <si>
    <t>Nathaniel White</t>
  </si>
  <si>
    <t>Andrew Clark</t>
  </si>
  <si>
    <t>$95.4</t>
  </si>
  <si>
    <t>Robert Garcia</t>
  </si>
  <si>
    <t>Eric Lewis</t>
  </si>
  <si>
    <t>â‚¬245.84</t>
  </si>
  <si>
    <t>Richard Medina</t>
  </si>
  <si>
    <t>â‚¬284.66</t>
  </si>
  <si>
    <t>Peter Pierce</t>
  </si>
  <si>
    <t>Deborah Snyder</t>
  </si>
  <si>
    <t>Rs389.49</t>
  </si>
  <si>
    <t>Elizabeth Russo</t>
  </si>
  <si>
    <t>07/30/2024</t>
  </si>
  <si>
    <t>Connie Martinez</t>
  </si>
  <si>
    <t>Jacqueline Collins</t>
  </si>
  <si>
    <t>Paul Parker</t>
  </si>
  <si>
    <t>$161.5</t>
  </si>
  <si>
    <t>Mckenzie Mccarty</t>
  </si>
  <si>
    <t>07/20/2024</t>
  </si>
  <si>
    <t>Larry Smith</t>
  </si>
  <si>
    <t>Â£68.36</t>
  </si>
  <si>
    <t>Samuel Thomas</t>
  </si>
  <si>
    <t>Donna Johnson</t>
  </si>
  <si>
    <t>Â£332.15</t>
  </si>
  <si>
    <t>Robert Williams</t>
  </si>
  <si>
    <t>Jessica Chandler</t>
  </si>
  <si>
    <t>Â£294.14</t>
  </si>
  <si>
    <t>Brent Thompson</t>
  </si>
  <si>
    <t>11/23/2024</t>
  </si>
  <si>
    <t>Pamela Cunningham</t>
  </si>
  <si>
    <t>â‚¬202.54</t>
  </si>
  <si>
    <t>Ms. Kristen Johnson</t>
  </si>
  <si>
    <t>02/15/2026</t>
  </si>
  <si>
    <t>Susan Griffin</t>
  </si>
  <si>
    <t>Rs455.57</t>
  </si>
  <si>
    <t>Darlene Clark</t>
  </si>
  <si>
    <t>Thomas Williams</t>
  </si>
  <si>
    <t>Â£378.58</t>
  </si>
  <si>
    <t>Corey King</t>
  </si>
  <si>
    <t>Â£110.44</t>
  </si>
  <si>
    <t>Lauren Burns</t>
  </si>
  <si>
    <t>Amy Baxter</t>
  </si>
  <si>
    <t>Â£274.12</t>
  </si>
  <si>
    <t>Jesse Wood</t>
  </si>
  <si>
    <t>Deborah Vasquez</t>
  </si>
  <si>
    <t>Rs224.83</t>
  </si>
  <si>
    <t>James Price</t>
  </si>
  <si>
    <t>Jessica Garcia</t>
  </si>
  <si>
    <t>$194.55</t>
  </si>
  <si>
    <t>Darryl Murphy</t>
  </si>
  <si>
    <t>Christian Chapman</t>
  </si>
  <si>
    <t>â‚¬207.23</t>
  </si>
  <si>
    <t>Maria Boyd</t>
  </si>
  <si>
    <t>02/23/2025</t>
  </si>
  <si>
    <t>Mike Miller</t>
  </si>
  <si>
    <t>â‚¬464.96</t>
  </si>
  <si>
    <t>Jacqueline Howell</t>
  </si>
  <si>
    <t>Felicia Smith</t>
  </si>
  <si>
    <t>Â£316.64</t>
  </si>
  <si>
    <t>Tracy Smith</t>
  </si>
  <si>
    <t>Amber Baxter</t>
  </si>
  <si>
    <t>Rs139.49</t>
  </si>
  <si>
    <t>Victoria Perry</t>
  </si>
  <si>
    <t>03/26/2026</t>
  </si>
  <si>
    <t>Heather Garcia</t>
  </si>
  <si>
    <t>â‚¬447.23</t>
  </si>
  <si>
    <t>Pamela Davis</t>
  </si>
  <si>
    <t>Antonio Galloway</t>
  </si>
  <si>
    <t>â‚¬320.38</t>
  </si>
  <si>
    <t>Stephanie Carr</t>
  </si>
  <si>
    <t>David Colon</t>
  </si>
  <si>
    <t>$212.66</t>
  </si>
  <si>
    <t>Carrie Davis</t>
  </si>
  <si>
    <t>Michael Jones</t>
  </si>
  <si>
    <t>Rs390.86</t>
  </si>
  <si>
    <t>Pamela Young</t>
  </si>
  <si>
    <t>Yvonne Richardson</t>
  </si>
  <si>
    <t>$136.23</t>
  </si>
  <si>
    <t>Leonard Clark</t>
  </si>
  <si>
    <t>02/28/2026</t>
  </si>
  <si>
    <t>Robert Foster</t>
  </si>
  <si>
    <t>Rs68.8</t>
  </si>
  <si>
    <t>Michele Perry</t>
  </si>
  <si>
    <t>Leslie Gomez</t>
  </si>
  <si>
    <t>â‚¬79.41</t>
  </si>
  <si>
    <t>Ryan Tucker</t>
  </si>
  <si>
    <t>Barbara Owens</t>
  </si>
  <si>
    <t>Rs224.61</t>
  </si>
  <si>
    <t>Kelsey Rice</t>
  </si>
  <si>
    <t>Darren Jensen</t>
  </si>
  <si>
    <t>$190.44</t>
  </si>
  <si>
    <t>Monique Daniels</t>
  </si>
  <si>
    <t>Alexander Brown</t>
  </si>
  <si>
    <t>$316.64</t>
  </si>
  <si>
    <t>Joseph Mcmillan</t>
  </si>
  <si>
    <t>Frederick Nielsen</t>
  </si>
  <si>
    <t>Rs308.59</t>
  </si>
  <si>
    <t>Miss Christine Lopez</t>
  </si>
  <si>
    <t>11/30/2025</t>
  </si>
  <si>
    <t>Cynthia Turner</t>
  </si>
  <si>
    <t>$414.58</t>
  </si>
  <si>
    <t>Christy Nunez</t>
  </si>
  <si>
    <t>Theresa Parker</t>
  </si>
  <si>
    <t>â‚¬338.24</t>
  </si>
  <si>
    <t>Jeff Lynch</t>
  </si>
  <si>
    <t>Joseph Gibbs</t>
  </si>
  <si>
    <t>â‚¬53.35</t>
  </si>
  <si>
    <t>James Mendez</t>
  </si>
  <si>
    <t>Jackie Brooks</t>
  </si>
  <si>
    <t>$186.43</t>
  </si>
  <si>
    <t>Kelly Hess</t>
  </si>
  <si>
    <t>Seth Benson</t>
  </si>
  <si>
    <t>Rs268.93</t>
  </si>
  <si>
    <t>Sandra Wilson</t>
  </si>
  <si>
    <t>Cheryl Adams</t>
  </si>
  <si>
    <t>â‚¬322.0</t>
  </si>
  <si>
    <t>Jennifer Williams</t>
  </si>
  <si>
    <t>Emily Barnes</t>
  </si>
  <si>
    <t>$498.84</t>
  </si>
  <si>
    <t>Kathryn Green</t>
  </si>
  <si>
    <t>Robert Moreno</t>
  </si>
  <si>
    <t>Rs415.78</t>
  </si>
  <si>
    <t>Holly Potter</t>
  </si>
  <si>
    <t>11/21/2025</t>
  </si>
  <si>
    <t>Christina Mitchell</t>
  </si>
  <si>
    <t>Rs274.5</t>
  </si>
  <si>
    <t>Catherine Stein</t>
  </si>
  <si>
    <t>Donald Jacobson</t>
  </si>
  <si>
    <t>Â£368.24</t>
  </si>
  <si>
    <t>Wendy Andrews</t>
  </si>
  <si>
    <t>06/18/2025</t>
  </si>
  <si>
    <t>Kimberly Wilcox</t>
  </si>
  <si>
    <t>Rs353.07</t>
  </si>
  <si>
    <t>Richard Alexander</t>
  </si>
  <si>
    <t>Monica Torres</t>
  </si>
  <si>
    <t>Â£358.68</t>
  </si>
  <si>
    <t>Javier Hawkins</t>
  </si>
  <si>
    <t>Debra Fields</t>
  </si>
  <si>
    <t>$427.54</t>
  </si>
  <si>
    <t>Sonya Wheeler</t>
  </si>
  <si>
    <t>Adam Carlson</t>
  </si>
  <si>
    <t>Rs433.05</t>
  </si>
  <si>
    <t>Jessica Castillo</t>
  </si>
  <si>
    <t>Bryan Newton</t>
  </si>
  <si>
    <t>â‚¬436.91</t>
  </si>
  <si>
    <t>Courtney Powell</t>
  </si>
  <si>
    <t>Kelly Hardin</t>
  </si>
  <si>
    <t>â‚¬252.53</t>
  </si>
  <si>
    <t>Crystal Oneal</t>
  </si>
  <si>
    <t>Harold Gray</t>
  </si>
  <si>
    <t>$421.74</t>
  </si>
  <si>
    <t>Alison Robinson</t>
  </si>
  <si>
    <t>12/23/2024</t>
  </si>
  <si>
    <t>Jose Thomas</t>
  </si>
  <si>
    <t>Â£175.6</t>
  </si>
  <si>
    <t>Justin White</t>
  </si>
  <si>
    <t>Jose Jackson</t>
  </si>
  <si>
    <t>Rs203.05</t>
  </si>
  <si>
    <t>Linda Ryan</t>
  </si>
  <si>
    <t>Sandra Johns</t>
  </si>
  <si>
    <t>Â£123.13</t>
  </si>
  <si>
    <t>Meghan Evans</t>
  </si>
  <si>
    <t>Courtney Yang</t>
  </si>
  <si>
    <t>$337.15</t>
  </si>
  <si>
    <t>Tiffany Stone</t>
  </si>
  <si>
    <t>08/18/2025</t>
  </si>
  <si>
    <t>Henry Kelley</t>
  </si>
  <si>
    <t>â‚¬180.76</t>
  </si>
  <si>
    <t>Melanie Hernandez</t>
  </si>
  <si>
    <t>Adam Anderson</t>
  </si>
  <si>
    <t>$445.97</t>
  </si>
  <si>
    <t>Gabriel Yang</t>
  </si>
  <si>
    <t>Justin Thomas</t>
  </si>
  <si>
    <t>Â£236.58</t>
  </si>
  <si>
    <t>Nicole Garcia</t>
  </si>
  <si>
    <t>Guy Vaughn</t>
  </si>
  <si>
    <t>$125.33</t>
  </si>
  <si>
    <t>Jenny Martin</t>
  </si>
  <si>
    <t>Andrew Terry</t>
  </si>
  <si>
    <t>â‚¬394.58</t>
  </si>
  <si>
    <t>Audrey Irwin</t>
  </si>
  <si>
    <t>11/22/2025</t>
  </si>
  <si>
    <t>Michael Murphy</t>
  </si>
  <si>
    <t>â‚¬96.12</t>
  </si>
  <si>
    <t>Bryan Armstrong</t>
  </si>
  <si>
    <t>Robert Escobar</t>
  </si>
  <si>
    <t>Rs305.01</t>
  </si>
  <si>
    <t>Lisa Hill</t>
  </si>
  <si>
    <t>06/23/2025</t>
  </si>
  <si>
    <t>Mia Boyd</t>
  </si>
  <si>
    <t>$169.01</t>
  </si>
  <si>
    <t>Susan Delgado</t>
  </si>
  <si>
    <t>Paula Mann</t>
  </si>
  <si>
    <t>â‚¬304.86</t>
  </si>
  <si>
    <t>Bradley Myers</t>
  </si>
  <si>
    <t>Mark Barrett</t>
  </si>
  <si>
    <t>Rs426.51</t>
  </si>
  <si>
    <t>Derek Smith</t>
  </si>
  <si>
    <t>Jeremy Burton</t>
  </si>
  <si>
    <t>$215.76</t>
  </si>
  <si>
    <t>Taylor Farley</t>
  </si>
  <si>
    <t>Christy Lewis</t>
  </si>
  <si>
    <t>$184.11</t>
  </si>
  <si>
    <t>Richard Richardson</t>
  </si>
  <si>
    <t>Robin Hebert</t>
  </si>
  <si>
    <t>Rs226.12</t>
  </si>
  <si>
    <t>Ryan Rodriguez</t>
  </si>
  <si>
    <t>Eric Kennedy</t>
  </si>
  <si>
    <t>Rs277.5</t>
  </si>
  <si>
    <t>Jeremy Coleman</t>
  </si>
  <si>
    <t>David Riley</t>
  </si>
  <si>
    <t>Rs63.99</t>
  </si>
  <si>
    <t>Alexander Williams</t>
  </si>
  <si>
    <t>Erin Chandler</t>
  </si>
  <si>
    <t>Rs85.56</t>
  </si>
  <si>
    <t>Steven Richards</t>
  </si>
  <si>
    <t>Zachary Hamilton</t>
  </si>
  <si>
    <t>â‚¬237.1</t>
  </si>
  <si>
    <t>Toni Morris DDS</t>
  </si>
  <si>
    <t>Robin Medina</t>
  </si>
  <si>
    <t>â‚¬250.69</t>
  </si>
  <si>
    <t>Zachary Allen</t>
  </si>
  <si>
    <t>Justin Smith</t>
  </si>
  <si>
    <t>Mary Wilson</t>
  </si>
  <si>
    <t>Misty Higgins</t>
  </si>
  <si>
    <t>$421.57</t>
  </si>
  <si>
    <t>Nicole Shepard</t>
  </si>
  <si>
    <t>Mr. Ricky Le</t>
  </si>
  <si>
    <t>â‚¬77.79</t>
  </si>
  <si>
    <t>Trevor Anderson</t>
  </si>
  <si>
    <t>Kenneth Johnson</t>
  </si>
  <si>
    <t>â‚¬156.32</t>
  </si>
  <si>
    <t>Robert Wade</t>
  </si>
  <si>
    <t>Phillip Shelton</t>
  </si>
  <si>
    <t>$249.74</t>
  </si>
  <si>
    <t>Oscar Luna</t>
  </si>
  <si>
    <t>03/26/2025</t>
  </si>
  <si>
    <t>John Stewart</t>
  </si>
  <si>
    <t>$126.56</t>
  </si>
  <si>
    <t>Lance Hobbs</t>
  </si>
  <si>
    <t>Mr. James Brown</t>
  </si>
  <si>
    <t>$143.32</t>
  </si>
  <si>
    <t>Misty Wells</t>
  </si>
  <si>
    <t>Debra Booker</t>
  </si>
  <si>
    <t>Â£353.8</t>
  </si>
  <si>
    <t>Adam Mcdonald</t>
  </si>
  <si>
    <t>08/15/2025</t>
  </si>
  <si>
    <t>David Schmidt</t>
  </si>
  <si>
    <t>Â£174.54</t>
  </si>
  <si>
    <t>David Mann</t>
  </si>
  <si>
    <t>Donald Ferguson</t>
  </si>
  <si>
    <t>Â£217.77</t>
  </si>
  <si>
    <t>Daniel White</t>
  </si>
  <si>
    <t>07/13/2024</t>
  </si>
  <si>
    <t>Chad Johnson</t>
  </si>
  <si>
    <t>Rs277.51</t>
  </si>
  <si>
    <t>Steven Gonzalez</t>
  </si>
  <si>
    <t>Jonathan Daniels</t>
  </si>
  <si>
    <t>Â£259.19</t>
  </si>
  <si>
    <t>Samuel Harrison</t>
  </si>
  <si>
    <t>Hunter Powell</t>
  </si>
  <si>
    <t>Rs492.92</t>
  </si>
  <si>
    <t>Bethany Williams</t>
  </si>
  <si>
    <t>Kayla Woods</t>
  </si>
  <si>
    <t>â‚¬51.38</t>
  </si>
  <si>
    <t>Eddie Tate</t>
  </si>
  <si>
    <t>09/27/2024</t>
  </si>
  <si>
    <t>Paul Johnson</t>
  </si>
  <si>
    <t>Rs374.03</t>
  </si>
  <si>
    <t>Christopher Trujillo</t>
  </si>
  <si>
    <t>Keith Smith</t>
  </si>
  <si>
    <t>Â£175.33</t>
  </si>
  <si>
    <t>Sarah Thompson</t>
  </si>
  <si>
    <t>Ruth Shaw</t>
  </si>
  <si>
    <t>Â£129.25</t>
  </si>
  <si>
    <t>Bradley Jones</t>
  </si>
  <si>
    <t>Douglas Patton</t>
  </si>
  <si>
    <t>Rs257.41</t>
  </si>
  <si>
    <t>Emma Ferrell</t>
  </si>
  <si>
    <t>David Bradford</t>
  </si>
  <si>
    <t>â‚¬337.48</t>
  </si>
  <si>
    <t>Michael Garcia</t>
  </si>
  <si>
    <t>Barbara Mack</t>
  </si>
  <si>
    <t>â‚¬310.15</t>
  </si>
  <si>
    <t>Darlene Hodge</t>
  </si>
  <si>
    <t>Amanda Cruz</t>
  </si>
  <si>
    <t>â‚¬63.14</t>
  </si>
  <si>
    <t>Katherine Rios</t>
  </si>
  <si>
    <t>Elizabeth Foster</t>
  </si>
  <si>
    <t>$265.67</t>
  </si>
  <si>
    <t>Jennifer Shaffer</t>
  </si>
  <si>
    <t>Brittany Watson</t>
  </si>
  <si>
    <t>$382.64</t>
  </si>
  <si>
    <t>Leslie Newman</t>
  </si>
  <si>
    <t>Lindsey Mendoza</t>
  </si>
  <si>
    <t>Rs125.35</t>
  </si>
  <si>
    <t>Alejandro Romero</t>
  </si>
  <si>
    <t>08/28/2024</t>
  </si>
  <si>
    <t>Karen Hancock</t>
  </si>
  <si>
    <t>Â£206.69</t>
  </si>
  <si>
    <t>Ashley Peterson</t>
  </si>
  <si>
    <t>Kyle Mcintyre</t>
  </si>
  <si>
    <t>Â£358.45</t>
  </si>
  <si>
    <t>Steven Wallace</t>
  </si>
  <si>
    <t>Katherine Martin</t>
  </si>
  <si>
    <t>â‚¬496.62</t>
  </si>
  <si>
    <t>Lindsey Sullivan MD</t>
  </si>
  <si>
    <t>David Barnett</t>
  </si>
  <si>
    <t>Rs290.47</t>
  </si>
  <si>
    <t>William Wilson</t>
  </si>
  <si>
    <t>02/16/2026</t>
  </si>
  <si>
    <t>Jacob Bernard</t>
  </si>
  <si>
    <t>â‚¬346.4</t>
  </si>
  <si>
    <t>Kenneth Cox</t>
  </si>
  <si>
    <t>Brian Walker</t>
  </si>
  <si>
    <t>$123.28</t>
  </si>
  <si>
    <t>Susan Winters</t>
  </si>
  <si>
    <t>Christopher Simpson</t>
  </si>
  <si>
    <t>$353.09</t>
  </si>
  <si>
    <t>Marissa Randall</t>
  </si>
  <si>
    <t>Kent Cannon</t>
  </si>
  <si>
    <t>Rs299.12</t>
  </si>
  <si>
    <t>Lydia Davis</t>
  </si>
  <si>
    <t>Brian Rodriguez</t>
  </si>
  <si>
    <t>â‚¬286.79</t>
  </si>
  <si>
    <t>Jason Kennedy</t>
  </si>
  <si>
    <t>Robert Fowler</t>
  </si>
  <si>
    <t>â‚¬330.76</t>
  </si>
  <si>
    <t>Bill Brown</t>
  </si>
  <si>
    <t>â‚¬69.76</t>
  </si>
  <si>
    <t>Shannon Vargas</t>
  </si>
  <si>
    <t>Brian Caldwell</t>
  </si>
  <si>
    <t>$341.11</t>
  </si>
  <si>
    <t>Jennifer Dorsey</t>
  </si>
  <si>
    <t>Michael Stanley</t>
  </si>
  <si>
    <t>$147.08</t>
  </si>
  <si>
    <t>Gary Simpson</t>
  </si>
  <si>
    <t>Veronica Chen</t>
  </si>
  <si>
    <t>$462.6</t>
  </si>
  <si>
    <t>Nicole Adams</t>
  </si>
  <si>
    <t>Krystal Krueger</t>
  </si>
  <si>
    <t>â‚¬357.53</t>
  </si>
  <si>
    <t>Gary Ramos</t>
  </si>
  <si>
    <t>Gregory Riley</t>
  </si>
  <si>
    <t>Rs353.35</t>
  </si>
  <si>
    <t>Veronica Shaw</t>
  </si>
  <si>
    <t>Michael Franco</t>
  </si>
  <si>
    <t>Â£174.42</t>
  </si>
  <si>
    <t>Lisa Smith</t>
  </si>
  <si>
    <t>Daniel Beck</t>
  </si>
  <si>
    <t>Rs449.41</t>
  </si>
  <si>
    <t>Eric Lawson</t>
  </si>
  <si>
    <t>Andrew Webb</t>
  </si>
  <si>
    <t>$179.07</t>
  </si>
  <si>
    <t>Vanessa Wright</t>
  </si>
  <si>
    <t>Virginia Sharp</t>
  </si>
  <si>
    <t>Rs344.67</t>
  </si>
  <si>
    <t>Edward Thomas</t>
  </si>
  <si>
    <t>Teresa Medina</t>
  </si>
  <si>
    <t>$84.72</t>
  </si>
  <si>
    <t>Cassandra Peterson</t>
  </si>
  <si>
    <t>Mary Sanchez</t>
  </si>
  <si>
    <t>Ellen Stevens</t>
  </si>
  <si>
    <t>Charles Wells</t>
  </si>
  <si>
    <t>Â£479.79</t>
  </si>
  <si>
    <t>Shawn Mendoza</t>
  </si>
  <si>
    <t>Erin Walton</t>
  </si>
  <si>
    <t>â‚¬77.99</t>
  </si>
  <si>
    <t>Sandra Hill</t>
  </si>
  <si>
    <t>Julie May</t>
  </si>
  <si>
    <t>Rs113.2</t>
  </si>
  <si>
    <t>Oscar Hunt</t>
  </si>
  <si>
    <t>Michael Mason</t>
  </si>
  <si>
    <t>Â£363.04</t>
  </si>
  <si>
    <t>Tristan Booth</t>
  </si>
  <si>
    <t>07/16/2024</t>
  </si>
  <si>
    <t>Alicia Hall</t>
  </si>
  <si>
    <t>$477.72</t>
  </si>
  <si>
    <t>Ashlee Warren</t>
  </si>
  <si>
    <t>Cynthia Cruz</t>
  </si>
  <si>
    <t>Rs289.74</t>
  </si>
  <si>
    <t>Alexander Vega</t>
  </si>
  <si>
    <t>Karen Gomez</t>
  </si>
  <si>
    <t>$270.15</t>
  </si>
  <si>
    <t>Breanna Lewis</t>
  </si>
  <si>
    <t>Jerry Tucker</t>
  </si>
  <si>
    <t>Â£155.98</t>
  </si>
  <si>
    <t>Jackie Lane</t>
  </si>
  <si>
    <t>Jackie Harper</t>
  </si>
  <si>
    <t>Rs335.27</t>
  </si>
  <si>
    <t>Shawn Cordova</t>
  </si>
  <si>
    <t>11/27/2025</t>
  </si>
  <si>
    <t>Wendy Mcguire</t>
  </si>
  <si>
    <t>Rs285.22</t>
  </si>
  <si>
    <t>Christina Macdonald</t>
  </si>
  <si>
    <t>Samuel Ramirez</t>
  </si>
  <si>
    <t>Rs91.36</t>
  </si>
  <si>
    <t>Dylan Jones</t>
  </si>
  <si>
    <t>Katherine Small</t>
  </si>
  <si>
    <t>Rs498.58</t>
  </si>
  <si>
    <t>Christine Herring</t>
  </si>
  <si>
    <t>Kristin Hartman</t>
  </si>
  <si>
    <t>â‚¬453.73</t>
  </si>
  <si>
    <t>Brandon Carter</t>
  </si>
  <si>
    <t>02/27/2025</t>
  </si>
  <si>
    <t>Â£218.54</t>
  </si>
  <si>
    <t>Lori Dean</t>
  </si>
  <si>
    <t>Theresa Williams</t>
  </si>
  <si>
    <t>Rs312.26</t>
  </si>
  <si>
    <t>Deborah Robinson</t>
  </si>
  <si>
    <t>01/25/2026</t>
  </si>
  <si>
    <t>Joseph Bell</t>
  </si>
  <si>
    <t>â‚¬159.21</t>
  </si>
  <si>
    <t>Jason Tate</t>
  </si>
  <si>
    <t>Kimberly Young</t>
  </si>
  <si>
    <t>â‚¬484.79</t>
  </si>
  <si>
    <t>Jill Mcconnell</t>
  </si>
  <si>
    <t>02/16/2025</t>
  </si>
  <si>
    <t>Jessica Miller</t>
  </si>
  <si>
    <t>Rs475.35</t>
  </si>
  <si>
    <t>Kyle Barnes Jr.</t>
  </si>
  <si>
    <t>Donna Peters</t>
  </si>
  <si>
    <t>$156.1</t>
  </si>
  <si>
    <t>Regina Smith</t>
  </si>
  <si>
    <t>Donna Orr</t>
  </si>
  <si>
    <t>$246.13</t>
  </si>
  <si>
    <t>Jeffrey Warren</t>
  </si>
  <si>
    <t>Mrs. Michelle Reed</t>
  </si>
  <si>
    <t>Rs340.54</t>
  </si>
  <si>
    <t>Andre Crosby</t>
  </si>
  <si>
    <t>Douglas Smith</t>
  </si>
  <si>
    <t>$235.81</t>
  </si>
  <si>
    <t>Jessica Maldonado DDS</t>
  </si>
  <si>
    <t>Kelly Thomas</t>
  </si>
  <si>
    <t>Â£166.21</t>
  </si>
  <si>
    <t>Ian Bush</t>
  </si>
  <si>
    <t>Steven Welch</t>
  </si>
  <si>
    <t>â‚¬418.29</t>
  </si>
  <si>
    <t>Nicole Warren</t>
  </si>
  <si>
    <t>Kimberly Beck</t>
  </si>
  <si>
    <t>Â£415.35</t>
  </si>
  <si>
    <t>Dennis Jacobs</t>
  </si>
  <si>
    <t>Katherine Long</t>
  </si>
  <si>
    <t>$307.29</t>
  </si>
  <si>
    <t>Edward Black</t>
  </si>
  <si>
    <t>Nathan Summers</t>
  </si>
  <si>
    <t>Rs268.75</t>
  </si>
  <si>
    <t>Suzanne Jenkins</t>
  </si>
  <si>
    <t>Maureen Jacobson</t>
  </si>
  <si>
    <t>â‚¬248.97</t>
  </si>
  <si>
    <t>Lindsey Green</t>
  </si>
  <si>
    <t>James Fleming</t>
  </si>
  <si>
    <t>$270.71</t>
  </si>
  <si>
    <t>Sarah Hernandez</t>
  </si>
  <si>
    <t>Jeremy Mclaughlin</t>
  </si>
  <si>
    <t>$253.36</t>
  </si>
  <si>
    <t>Christina Eaton</t>
  </si>
  <si>
    <t>Stephanie Kelley DVM</t>
  </si>
  <si>
    <t>$192.87</t>
  </si>
  <si>
    <t>Angela Rogers</t>
  </si>
  <si>
    <t>Dr. Brian Smith</t>
  </si>
  <si>
    <t>Rs362.08</t>
  </si>
  <si>
    <t>Molly Hayden</t>
  </si>
  <si>
    <t>Brian Chambers</t>
  </si>
  <si>
    <t>Â£306.62</t>
  </si>
  <si>
    <t>Brian Clarke</t>
  </si>
  <si>
    <t>Amanda Hoffman</t>
  </si>
  <si>
    <t>$348.18</t>
  </si>
  <si>
    <t>Steven Morgan</t>
  </si>
  <si>
    <t>Donna Adkins</t>
  </si>
  <si>
    <t>Â£298.42</t>
  </si>
  <si>
    <t>Sara Morse</t>
  </si>
  <si>
    <t>Mrs. Jennifer Ingram</t>
  </si>
  <si>
    <t>Katrina Williams MD</t>
  </si>
  <si>
    <t>$473.2</t>
  </si>
  <si>
    <t>Troy Torres</t>
  </si>
  <si>
    <t>Matthew Carney</t>
  </si>
  <si>
    <t>$124.09</t>
  </si>
  <si>
    <t>Stephanie Moss</t>
  </si>
  <si>
    <t>Jason Bray</t>
  </si>
  <si>
    <t>â‚¬52.32</t>
  </si>
  <si>
    <t>Jade Blanchard MD</t>
  </si>
  <si>
    <t>Amber Waters</t>
  </si>
  <si>
    <t>$151.03</t>
  </si>
  <si>
    <t>Pamela Johnson</t>
  </si>
  <si>
    <t>Crystal Garza</t>
  </si>
  <si>
    <t>Rs417.42</t>
  </si>
  <si>
    <t>Glenn Wall</t>
  </si>
  <si>
    <t>Sarah Peterson</t>
  </si>
  <si>
    <t>$112.9</t>
  </si>
  <si>
    <t>Christopher Beard</t>
  </si>
  <si>
    <t>Jerry Torres</t>
  </si>
  <si>
    <t>Rs126.44</t>
  </si>
  <si>
    <t>Darin Caldwell</t>
  </si>
  <si>
    <t>Danielle Pacheco</t>
  </si>
  <si>
    <t>â‚¬185.15</t>
  </si>
  <si>
    <t>Henry Henderson</t>
  </si>
  <si>
    <t>James Love</t>
  </si>
  <si>
    <t>Regina Giles</t>
  </si>
  <si>
    <t>Kimberly Foster</t>
  </si>
  <si>
    <t>â‚¬258.9</t>
  </si>
  <si>
    <t>Curtis Cooke</t>
  </si>
  <si>
    <t>John Hancock</t>
  </si>
  <si>
    <t>â‚¬477.08</t>
  </si>
  <si>
    <t>Joel Marshall</t>
  </si>
  <si>
    <t>Victoria Garcia</t>
  </si>
  <si>
    <t>â‚¬306.8</t>
  </si>
  <si>
    <t>Peter Schaefer</t>
  </si>
  <si>
    <t>Carlos Spence</t>
  </si>
  <si>
    <t>Rs190.01</t>
  </si>
  <si>
    <t>Andrew Cross</t>
  </si>
  <si>
    <t>Victor Warner</t>
  </si>
  <si>
    <t>Rs281.44</t>
  </si>
  <si>
    <t>Jonathan Fernandez</t>
  </si>
  <si>
    <t>Luis Nolan</t>
  </si>
  <si>
    <t>Rs252.73</t>
  </si>
  <si>
    <t>Rebecca Gould</t>
  </si>
  <si>
    <t>12/17/2024</t>
  </si>
  <si>
    <t>Xavier Richardson</t>
  </si>
  <si>
    <t>Â£397.0</t>
  </si>
  <si>
    <t>Anthony Nash</t>
  </si>
  <si>
    <t>Brianna Shea</t>
  </si>
  <si>
    <t>Rs392.0</t>
  </si>
  <si>
    <t>Kimberly Fitzpatrick</t>
  </si>
  <si>
    <t>Mark Moore</t>
  </si>
  <si>
    <t>Elizabeth Duke</t>
  </si>
  <si>
    <t>Michael Rogers</t>
  </si>
  <si>
    <t>â‚¬156.61</t>
  </si>
  <si>
    <t>Richard Griffin</t>
  </si>
  <si>
    <t>Tina Gonzalez</t>
  </si>
  <si>
    <t>Rs81.87</t>
  </si>
  <si>
    <t>Erica Jimenez</t>
  </si>
  <si>
    <t>Bethany Mcpherson</t>
  </si>
  <si>
    <t>Â£438.16</t>
  </si>
  <si>
    <t>Melissa Allen</t>
  </si>
  <si>
    <t>Rodney Lopez</t>
  </si>
  <si>
    <t>Â£447.77</t>
  </si>
  <si>
    <t>Manuel Becker</t>
  </si>
  <si>
    <t>Jacob Patel</t>
  </si>
  <si>
    <t>$139.99</t>
  </si>
  <si>
    <t>Jamie Andrews</t>
  </si>
  <si>
    <t>Â£393.1</t>
  </si>
  <si>
    <t>Shannon Flores</t>
  </si>
  <si>
    <t>Scott Washington</t>
  </si>
  <si>
    <t>Â£248.78</t>
  </si>
  <si>
    <t>Tara Garrison</t>
  </si>
  <si>
    <t>Stacy Hartman</t>
  </si>
  <si>
    <t>Â£453.09</t>
  </si>
  <si>
    <t>11/23/2025</t>
  </si>
  <si>
    <t>Kevin Fields</t>
  </si>
  <si>
    <t>â‚¬57.05</t>
  </si>
  <si>
    <t>Sandra Terry</t>
  </si>
  <si>
    <t>Debra Buchanan</t>
  </si>
  <si>
    <t>Â£386.04</t>
  </si>
  <si>
    <t>Steven Miller</t>
  </si>
  <si>
    <t>Bob Shaw</t>
  </si>
  <si>
    <t>Â£204.82</t>
  </si>
  <si>
    <t>Haley King</t>
  </si>
  <si>
    <t>Erin Carr</t>
  </si>
  <si>
    <t>â‚¬239.93</t>
  </si>
  <si>
    <t>Jonathan Wood</t>
  </si>
  <si>
    <t>Jon Duarte</t>
  </si>
  <si>
    <t>Rs486.07</t>
  </si>
  <si>
    <t>Jessica Ali</t>
  </si>
  <si>
    <t>Willie Rose</t>
  </si>
  <si>
    <t>â‚¬73.35</t>
  </si>
  <si>
    <t>Bridget Cooley</t>
  </si>
  <si>
    <t>Ashley Edwards</t>
  </si>
  <si>
    <t>Â£144.78</t>
  </si>
  <si>
    <t>Brad Hill</t>
  </si>
  <si>
    <t>02/28/2025</t>
  </si>
  <si>
    <t>Emily Joseph</t>
  </si>
  <si>
    <t>â‚¬92.16</t>
  </si>
  <si>
    <t>Nathan Murphy</t>
  </si>
  <si>
    <t>Kerry Rowe</t>
  </si>
  <si>
    <t>Rs164.9</t>
  </si>
  <si>
    <t>Stephanie Caldwell MD</t>
  </si>
  <si>
    <t>Darrell Mendez</t>
  </si>
  <si>
    <t>$74.84</t>
  </si>
  <si>
    <t>Henry Carlson</t>
  </si>
  <si>
    <t>Rs230.11</t>
  </si>
  <si>
    <t>Michael Evans</t>
  </si>
  <si>
    <t>Manuel Vargas</t>
  </si>
  <si>
    <t>â‚¬304.67</t>
  </si>
  <si>
    <t>Heidi Hamilton</t>
  </si>
  <si>
    <t>Â£275.12</t>
  </si>
  <si>
    <t>Jeremiah Cruz</t>
  </si>
  <si>
    <t>Matthew Pratt</t>
  </si>
  <si>
    <t>â‚¬177.85</t>
  </si>
  <si>
    <t>Nicholas Vasquez</t>
  </si>
  <si>
    <t>Jennifer Anderson</t>
  </si>
  <si>
    <t>Rs410.8</t>
  </si>
  <si>
    <t>Cheryl Smith</t>
  </si>
  <si>
    <t>Sarah Harper DDS</t>
  </si>
  <si>
    <t>$97.46</t>
  </si>
  <si>
    <t>Matthew Moore</t>
  </si>
  <si>
    <t>Erica Riley</t>
  </si>
  <si>
    <t>Rs116.32</t>
  </si>
  <si>
    <t>Katherine Wilson</t>
  </si>
  <si>
    <t>Mitchell Sims</t>
  </si>
  <si>
    <t>$203.3</t>
  </si>
  <si>
    <t>Dawn Collins</t>
  </si>
  <si>
    <t>$139.43</t>
  </si>
  <si>
    <t>John Rich</t>
  </si>
  <si>
    <t>Jennifer Johnston</t>
  </si>
  <si>
    <t>Kathleen Oneal</t>
  </si>
  <si>
    <t>07/28/2024</t>
  </si>
  <si>
    <t>Jacob Andrade</t>
  </si>
  <si>
    <t>$74.36</t>
  </si>
  <si>
    <t>Courtney Hunt</t>
  </si>
  <si>
    <t>Mrs. Kayla Peterson</t>
  </si>
  <si>
    <t>â‚¬303.91</t>
  </si>
  <si>
    <t>Steven Wilson</t>
  </si>
  <si>
    <t>Hannah Herrera</t>
  </si>
  <si>
    <t>$77.48</t>
  </si>
  <si>
    <t>Meghan Sanchez</t>
  </si>
  <si>
    <t>Judith Watson</t>
  </si>
  <si>
    <t>â‚¬282.36</t>
  </si>
  <si>
    <t>Amanda Johnston</t>
  </si>
  <si>
    <t>Angela Burton</t>
  </si>
  <si>
    <t>Richard Jones</t>
  </si>
  <si>
    <t>08/16/2025</t>
  </si>
  <si>
    <t>Stephen Cooper</t>
  </si>
  <si>
    <t>Â£243.46</t>
  </si>
  <si>
    <t>Lindsay Harris</t>
  </si>
  <si>
    <t>Ryan Hughes</t>
  </si>
  <si>
    <t>â‚¬444.38</t>
  </si>
  <si>
    <t>Kathy Banks</t>
  </si>
  <si>
    <t>11/25/2025</t>
  </si>
  <si>
    <t>Anna Yoder</t>
  </si>
  <si>
    <t>Rs319.04</t>
  </si>
  <si>
    <t>Beth Murphy</t>
  </si>
  <si>
    <t>Adam Davis</t>
  </si>
  <si>
    <t>Â£330.71</t>
  </si>
  <si>
    <t>Barbara Johnston</t>
  </si>
  <si>
    <t>April Hood</t>
  </si>
  <si>
    <t>Rs160.18</t>
  </si>
  <si>
    <t>Patrick Perez</t>
  </si>
  <si>
    <t>Jesse Edwards</t>
  </si>
  <si>
    <t>$290.14</t>
  </si>
  <si>
    <t>Sonia Moss</t>
  </si>
  <si>
    <t>Joy Armstrong</t>
  </si>
  <si>
    <t>â‚¬244.09</t>
  </si>
  <si>
    <t>Dana Mcclure</t>
  </si>
  <si>
    <t>Mark Norton</t>
  </si>
  <si>
    <t>Â£150.5</t>
  </si>
  <si>
    <t>Ryan Williams</t>
  </si>
  <si>
    <t>Veronica Fry</t>
  </si>
  <si>
    <t>$398.47</t>
  </si>
  <si>
    <t>Amy Baird</t>
  </si>
  <si>
    <t>09/28/2025</t>
  </si>
  <si>
    <t>Diana Jones</t>
  </si>
  <si>
    <t>Â£262.16</t>
  </si>
  <si>
    <t>Frank Castaneda</t>
  </si>
  <si>
    <t>Christopher Chen</t>
  </si>
  <si>
    <t>Benjamin Ramirez</t>
  </si>
  <si>
    <t>$142.33</t>
  </si>
  <si>
    <t>Matthew Buckley</t>
  </si>
  <si>
    <t>Ryan Collins</t>
  </si>
  <si>
    <t>Rs476.81</t>
  </si>
  <si>
    <t>Kimberly Goodman</t>
  </si>
  <si>
    <t>Luis Kim</t>
  </si>
  <si>
    <t>â‚¬351.04</t>
  </si>
  <si>
    <t>Brandi Osborn</t>
  </si>
  <si>
    <t>Daisy Rodriguez</t>
  </si>
  <si>
    <t>Â£73.97</t>
  </si>
  <si>
    <t>Christopher Lopez</t>
  </si>
  <si>
    <t>Caleb Kennedy</t>
  </si>
  <si>
    <t>$295.71</t>
  </si>
  <si>
    <t>Ronnie Roach</t>
  </si>
  <si>
    <t>Jason Houston</t>
  </si>
  <si>
    <t>Rs167.5</t>
  </si>
  <si>
    <t>Gary Taylor</t>
  </si>
  <si>
    <t>Lauren Medina</t>
  </si>
  <si>
    <t>Â£321.5</t>
  </si>
  <si>
    <t>Rodney Gonzalez</t>
  </si>
  <si>
    <t>$168.33</t>
  </si>
  <si>
    <t>Patrick Roach</t>
  </si>
  <si>
    <t>10/31/2025</t>
  </si>
  <si>
    <t>Karen Duke</t>
  </si>
  <si>
    <t>â‚¬411.75</t>
  </si>
  <si>
    <t>Sandra Rojas</t>
  </si>
  <si>
    <t>Donna Stone</t>
  </si>
  <si>
    <t>Daniel Bender</t>
  </si>
  <si>
    <t>Â£462.15</t>
  </si>
  <si>
    <t>Erik Davis</t>
  </si>
  <si>
    <t>Amanda White</t>
  </si>
  <si>
    <t>Brian Patel</t>
  </si>
  <si>
    <t>Tracy Harris</t>
  </si>
  <si>
    <t>â‚¬124.69</t>
  </si>
  <si>
    <t>George Houston</t>
  </si>
  <si>
    <t>Brian Vincent</t>
  </si>
  <si>
    <t>â‚¬129.38</t>
  </si>
  <si>
    <t>Mrs. Katherine Huber PhD</t>
  </si>
  <si>
    <t>Kathryn Young</t>
  </si>
  <si>
    <t>$488.54</t>
  </si>
  <si>
    <t>Edward Russell</t>
  </si>
  <si>
    <t>10/17/2025</t>
  </si>
  <si>
    <t>Connor Brown</t>
  </si>
  <si>
    <t>Â£93.45</t>
  </si>
  <si>
    <t>Thomas Fleming</t>
  </si>
  <si>
    <t>12/14/2024</t>
  </si>
  <si>
    <t>Kimberly Mcdonald</t>
  </si>
  <si>
    <t>â‚¬73.45</t>
  </si>
  <si>
    <t>Savannah Butler</t>
  </si>
  <si>
    <t>James Nguyen</t>
  </si>
  <si>
    <t>$340.47</t>
  </si>
  <si>
    <t>David Wilson</t>
  </si>
  <si>
    <t>Matthew Wilson</t>
  </si>
  <si>
    <t>Â£414.94</t>
  </si>
  <si>
    <t>Jacob Price</t>
  </si>
  <si>
    <t>04/27/2024</t>
  </si>
  <si>
    <t>Kimberly Rangel</t>
  </si>
  <si>
    <t>â‚¬238.05</t>
  </si>
  <si>
    <t>Brian Mitchell</t>
  </si>
  <si>
    <t>Rs63.62</t>
  </si>
  <si>
    <t>Kendra Jones</t>
  </si>
  <si>
    <t>Karen Grimes</t>
  </si>
  <si>
    <t>$101.59</t>
  </si>
  <si>
    <t>Anthony Medina</t>
  </si>
  <si>
    <t>Richard Walker</t>
  </si>
  <si>
    <t>$498.48</t>
  </si>
  <si>
    <t>Desiree Wilkins</t>
  </si>
  <si>
    <t>Jamie Ford</t>
  </si>
  <si>
    <t>$305.84</t>
  </si>
  <si>
    <t>Ashley Cunningham</t>
  </si>
  <si>
    <t>11/29/2024</t>
  </si>
  <si>
    <t>Sarah Montgomery</t>
  </si>
  <si>
    <t>Rs160.05</t>
  </si>
  <si>
    <t>Abigail Townsend</t>
  </si>
  <si>
    <t>Allison Salazar</t>
  </si>
  <si>
    <t>$406.61</t>
  </si>
  <si>
    <t>Diana Collins</t>
  </si>
  <si>
    <t>Glenn Bond</t>
  </si>
  <si>
    <t>Â£359.32</t>
  </si>
  <si>
    <t>William Roberts Jr.</t>
  </si>
  <si>
    <t>Savannah Beltran</t>
  </si>
  <si>
    <t>$315.17</t>
  </si>
  <si>
    <t>Sean Bailey</t>
  </si>
  <si>
    <t>Erika Turner</t>
  </si>
  <si>
    <t>Â£319.92</t>
  </si>
  <si>
    <t>Adrian Vincent</t>
  </si>
  <si>
    <t>William Coleman MD</t>
  </si>
  <si>
    <t>Â£352.01</t>
  </si>
  <si>
    <t>John Walsh</t>
  </si>
  <si>
    <t>Wanda Cox</t>
  </si>
  <si>
    <t>Â£88.56</t>
  </si>
  <si>
    <t>Christopher Johnson</t>
  </si>
  <si>
    <t>Susan Stanton</t>
  </si>
  <si>
    <t>$461.18</t>
  </si>
  <si>
    <t>Roger Holmes</t>
  </si>
  <si>
    <t>Paula Stone</t>
  </si>
  <si>
    <t>Rs206.57</t>
  </si>
  <si>
    <t>Michael Hamilton</t>
  </si>
  <si>
    <t>Angie Smith</t>
  </si>
  <si>
    <t>Â£107.34</t>
  </si>
  <si>
    <t>Courtney Gonzales</t>
  </si>
  <si>
    <t>Kayla Norris</t>
  </si>
  <si>
    <t>$385.01</t>
  </si>
  <si>
    <t>Leslie Medina</t>
  </si>
  <si>
    <t>08/17/2025</t>
  </si>
  <si>
    <t>Matthew Morse</t>
  </si>
  <si>
    <t>Â£490.93</t>
  </si>
  <si>
    <t>Frank Fields</t>
  </si>
  <si>
    <t>Heather Diaz</t>
  </si>
  <si>
    <t>$168.86</t>
  </si>
  <si>
    <t>Darren Douglas</t>
  </si>
  <si>
    <t>Andrew Gordon</t>
  </si>
  <si>
    <t>$463.06</t>
  </si>
  <si>
    <t>Jerry Jones</t>
  </si>
  <si>
    <t>Ashley Gomez</t>
  </si>
  <si>
    <t>$261.87</t>
  </si>
  <si>
    <t>Sheila Barrett</t>
  </si>
  <si>
    <t>John Wallace</t>
  </si>
  <si>
    <t>Rs170.53</t>
  </si>
  <si>
    <t>Kim Morris</t>
  </si>
  <si>
    <t>Michael Morris</t>
  </si>
  <si>
    <t>$197.66</t>
  </si>
  <si>
    <t>Sarah Rivas</t>
  </si>
  <si>
    <t>Scott Vega</t>
  </si>
  <si>
    <t>Â£454.23</t>
  </si>
  <si>
    <t>Adam Lane</t>
  </si>
  <si>
    <t>Lynn Dorsey</t>
  </si>
  <si>
    <t>â‚¬104.3</t>
  </si>
  <si>
    <t>Ronald Taylor</t>
  </si>
  <si>
    <t>Vanessa Jackson</t>
  </si>
  <si>
    <t>$263.1</t>
  </si>
  <si>
    <t>Angela Smith</t>
  </si>
  <si>
    <t>Nicholas Jones</t>
  </si>
  <si>
    <t>Â£229.44</t>
  </si>
  <si>
    <t>Chad Tyler</t>
  </si>
  <si>
    <t>Tiffany Sullivan</t>
  </si>
  <si>
    <t>Â£424.53</t>
  </si>
  <si>
    <t>Mary Manning</t>
  </si>
  <si>
    <t>William Harris</t>
  </si>
  <si>
    <t>$248.84</t>
  </si>
  <si>
    <t>Samantha Hoffman</t>
  </si>
  <si>
    <t>Julie Smith</t>
  </si>
  <si>
    <t>$89.38</t>
  </si>
  <si>
    <t>Shawn Juarez</t>
  </si>
  <si>
    <t>Patrick Morrison</t>
  </si>
  <si>
    <t>â‚¬110.8</t>
  </si>
  <si>
    <t>Dave Summers</t>
  </si>
  <si>
    <t>Traci Hopkins</t>
  </si>
  <si>
    <t>$217.51</t>
  </si>
  <si>
    <t>Luke Brady</t>
  </si>
  <si>
    <t>Adam Hall</t>
  </si>
  <si>
    <t>â‚¬427.98</t>
  </si>
  <si>
    <t>Christian Guerrero</t>
  </si>
  <si>
    <t>Jennifer Perez</t>
  </si>
  <si>
    <t>$298.89</t>
  </si>
  <si>
    <t>Terrence Long</t>
  </si>
  <si>
    <t>06/27/2025</t>
  </si>
  <si>
    <t>Natalie Rodriguez</t>
  </si>
  <si>
    <t>Â£182.71</t>
  </si>
  <si>
    <t>Victor Everett</t>
  </si>
  <si>
    <t>Jacob Diaz</t>
  </si>
  <si>
    <t>â‚¬350.12</t>
  </si>
  <si>
    <t>Amanda Stevenson</t>
  </si>
  <si>
    <t>Tyler Cunningham</t>
  </si>
  <si>
    <t>â‚¬158.91</t>
  </si>
  <si>
    <t>Vanessa Perkins</t>
  </si>
  <si>
    <t>Megan Smith</t>
  </si>
  <si>
    <t>Â£457.94</t>
  </si>
  <si>
    <t>Michael Davis</t>
  </si>
  <si>
    <t>09/30/2025</t>
  </si>
  <si>
    <t>Karen Griffin</t>
  </si>
  <si>
    <t>â‚¬130.9</t>
  </si>
  <si>
    <t>Amy Pierce</t>
  </si>
  <si>
    <t>Ian Castillo</t>
  </si>
  <si>
    <t>$318.44</t>
  </si>
  <si>
    <t>Dakota Kelly</t>
  </si>
  <si>
    <t>11/17/2024</t>
  </si>
  <si>
    <t>Andre Jones</t>
  </si>
  <si>
    <t>Rs291.99</t>
  </si>
  <si>
    <t>Erin Williams</t>
  </si>
  <si>
    <t>Sean Hernandez</t>
  </si>
  <si>
    <t>$161.56</t>
  </si>
  <si>
    <t>Tiffany Cooper</t>
  </si>
  <si>
    <t>Katrina Jones</t>
  </si>
  <si>
    <t>â‚¬79.8</t>
  </si>
  <si>
    <t>Jerry White</t>
  </si>
  <si>
    <t>Steven Scott</t>
  </si>
  <si>
    <t>Rs151.58</t>
  </si>
  <si>
    <t>Joseph Pace</t>
  </si>
  <si>
    <t>Lydia Baker</t>
  </si>
  <si>
    <t>Rs338.13</t>
  </si>
  <si>
    <t>Jean Kramer</t>
  </si>
  <si>
    <t>Donald Clark</t>
  </si>
  <si>
    <t>â‚¬441.92</t>
  </si>
  <si>
    <t>David Rose</t>
  </si>
  <si>
    <t>Dana Ewing</t>
  </si>
  <si>
    <t>Rs114.73</t>
  </si>
  <si>
    <t>Kevin Pearson</t>
  </si>
  <si>
    <t>Â£405.59</t>
  </si>
  <si>
    <t>James Gibbs</t>
  </si>
  <si>
    <t>09/22/2024</t>
  </si>
  <si>
    <t>Lisa Norris</t>
  </si>
  <si>
    <t>$368.56</t>
  </si>
  <si>
    <t>Lori Henderson</t>
  </si>
  <si>
    <t>Terri Stewart</t>
  </si>
  <si>
    <t>Rs496.31</t>
  </si>
  <si>
    <t>Benjamin Lewis</t>
  </si>
  <si>
    <t>Taylor Hicks</t>
  </si>
  <si>
    <t>â‚¬213.17</t>
  </si>
  <si>
    <t>Matthew Johnson</t>
  </si>
  <si>
    <t>12/17/2025</t>
  </si>
  <si>
    <t>John Moran</t>
  </si>
  <si>
    <t>â‚¬150.15</t>
  </si>
  <si>
    <t>Karen Myers</t>
  </si>
  <si>
    <t>David Wright</t>
  </si>
  <si>
    <t>â‚¬371.69</t>
  </si>
  <si>
    <t>Shelly Chavez</t>
  </si>
  <si>
    <t>Megan Morales</t>
  </si>
  <si>
    <t>$431.45</t>
  </si>
  <si>
    <t>Maria Williams</t>
  </si>
  <si>
    <t>Brandi Thomas</t>
  </si>
  <si>
    <t>Â£189.17</t>
  </si>
  <si>
    <t>Robert Humphrey</t>
  </si>
  <si>
    <t>03/22/2025</t>
  </si>
  <si>
    <t>Vanessa Brown</t>
  </si>
  <si>
    <t>$281.71</t>
  </si>
  <si>
    <t>Matthew Gutierrez</t>
  </si>
  <si>
    <t>â‚¬309.31</t>
  </si>
  <si>
    <t>Rebecca Banks</t>
  </si>
  <si>
    <t>April Randall DDS</t>
  </si>
  <si>
    <t>Rs57.03</t>
  </si>
  <si>
    <t>Ashley Rodriguez</t>
  </si>
  <si>
    <t>Russell Zimmerman</t>
  </si>
  <si>
    <t>Rs219.97</t>
  </si>
  <si>
    <t>Laura Ford</t>
  </si>
  <si>
    <t>Kyle Evans</t>
  </si>
  <si>
    <t>Â£186.51</t>
  </si>
  <si>
    <t>James Stout</t>
  </si>
  <si>
    <t>Andrea Myers</t>
  </si>
  <si>
    <t>â‚¬77.05</t>
  </si>
  <si>
    <t>Ashley Foster</t>
  </si>
  <si>
    <t>Melinda Cannon</t>
  </si>
  <si>
    <t>Â£208.72</t>
  </si>
  <si>
    <t>Christian Thomas</t>
  </si>
  <si>
    <t>Gregory Tapia</t>
  </si>
  <si>
    <t>Â£390.16</t>
  </si>
  <si>
    <t>Stacy Gardner</t>
  </si>
  <si>
    <t>Michael Campbell</t>
  </si>
  <si>
    <t>Â£74.78</t>
  </si>
  <si>
    <t>Taylor Patterson</t>
  </si>
  <si>
    <t>03/25/2026</t>
  </si>
  <si>
    <t>Ellen Miller</t>
  </si>
  <si>
    <t>$199.03</t>
  </si>
  <si>
    <t>Justin Zimmerman</t>
  </si>
  <si>
    <t>Â£245.09</t>
  </si>
  <si>
    <t>Jaclyn Knight</t>
  </si>
  <si>
    <t>05/19/2024</t>
  </si>
  <si>
    <t>John Oliver</t>
  </si>
  <si>
    <t>Â£282.03</t>
  </si>
  <si>
    <t>Jessica Rodriguez</t>
  </si>
  <si>
    <t>Jeffrey Martin</t>
  </si>
  <si>
    <t>Rs411.85</t>
  </si>
  <si>
    <t>Patricia Johnson DDS</t>
  </si>
  <si>
    <t>Ana Hunt</t>
  </si>
  <si>
    <t>Â£144.89</t>
  </si>
  <si>
    <t>Alexandra Sandoval</t>
  </si>
  <si>
    <t>Rachel Moore</t>
  </si>
  <si>
    <t>Rs198.95</t>
  </si>
  <si>
    <t>Mandy Smith</t>
  </si>
  <si>
    <t>Brian Olson</t>
  </si>
  <si>
    <t>Rs246.05</t>
  </si>
  <si>
    <t>Danny Cooper</t>
  </si>
  <si>
    <t>Mark Morrison</t>
  </si>
  <si>
    <t>â‚¬164.43</t>
  </si>
  <si>
    <t>Dr. Christina Dunn</t>
  </si>
  <si>
    <t>Madeline Sharp</t>
  </si>
  <si>
    <t>Rs381.59</t>
  </si>
  <si>
    <t>Rachel Porter</t>
  </si>
  <si>
    <t>Patrick Russell</t>
  </si>
  <si>
    <t>â‚¬341.42</t>
  </si>
  <si>
    <t>Megan Williams</t>
  </si>
  <si>
    <t>Melissa Khan</t>
  </si>
  <si>
    <t>Rs456.12</t>
  </si>
  <si>
    <t>Michelle Hill</t>
  </si>
  <si>
    <t>Rachel Sanchez</t>
  </si>
  <si>
    <t>Rs371.84</t>
  </si>
  <si>
    <t>Donna Green</t>
  </si>
  <si>
    <t>Clifford Ramirez</t>
  </si>
  <si>
    <t>â‚¬263.23</t>
  </si>
  <si>
    <t>Leon Anderson</t>
  </si>
  <si>
    <t>Mary Chandler</t>
  </si>
  <si>
    <t>$427.62</t>
  </si>
  <si>
    <t>Cheryl Ruiz</t>
  </si>
  <si>
    <t>Maria Thomas</t>
  </si>
  <si>
    <t>Â£100.78</t>
  </si>
  <si>
    <t>Keith Douglas</t>
  </si>
  <si>
    <t>Dawn Browning</t>
  </si>
  <si>
    <t>Christina Spencer</t>
  </si>
  <si>
    <t>Mark Kelley</t>
  </si>
  <si>
    <t>Â£308.28</t>
  </si>
  <si>
    <t>April Rios</t>
  </si>
  <si>
    <t>Megan Mccann</t>
  </si>
  <si>
    <t>â‚¬471.3</t>
  </si>
  <si>
    <t>Mallory Martin</t>
  </si>
  <si>
    <t>10/27/2025</t>
  </si>
  <si>
    <t>David Whitney</t>
  </si>
  <si>
    <t>Rs437.95</t>
  </si>
  <si>
    <t>Elizabeth Johnson</t>
  </si>
  <si>
    <t>Dr. Mary Day</t>
  </si>
  <si>
    <t>Rs461.32</t>
  </si>
  <si>
    <t>Ellen Rogers</t>
  </si>
  <si>
    <t>Tammie Melendez</t>
  </si>
  <si>
    <t>â‚¬424.17</t>
  </si>
  <si>
    <t>Kenneth Jenkins</t>
  </si>
  <si>
    <t>Tanya Eaton</t>
  </si>
  <si>
    <t>â‚¬428.7</t>
  </si>
  <si>
    <t>Duane Mitchell</t>
  </si>
  <si>
    <t>Helen Jackson</t>
  </si>
  <si>
    <t>â‚¬159.11</t>
  </si>
  <si>
    <t>Mr. Paul Chavez</t>
  </si>
  <si>
    <t>Evan Marquez</t>
  </si>
  <si>
    <t>$159.06</t>
  </si>
  <si>
    <t>Ian Weaver</t>
  </si>
  <si>
    <t>Audrey Torres</t>
  </si>
  <si>
    <t>Rs317.16</t>
  </si>
  <si>
    <t>Justin Hall</t>
  </si>
  <si>
    <t>â‚¬470.63</t>
  </si>
  <si>
    <t>Brian Riley</t>
  </si>
  <si>
    <t>Charles Kemp</t>
  </si>
  <si>
    <t>$153.44</t>
  </si>
  <si>
    <t>Joshua Wallace</t>
  </si>
  <si>
    <t>Melissa Price</t>
  </si>
  <si>
    <t>â‚¬416.08</t>
  </si>
  <si>
    <t>Amy Cruz</t>
  </si>
  <si>
    <t>12/14/2025</t>
  </si>
  <si>
    <t>Tony Burke</t>
  </si>
  <si>
    <t>â‚¬458.79</t>
  </si>
  <si>
    <t>Carly Dixon</t>
  </si>
  <si>
    <t>01/26/2025</t>
  </si>
  <si>
    <t>Gary Murray</t>
  </si>
  <si>
    <t>$125.8</t>
  </si>
  <si>
    <t>Pamela Bradshaw</t>
  </si>
  <si>
    <t>Donald Mitchell</t>
  </si>
  <si>
    <t>Rs352.94</t>
  </si>
  <si>
    <t>Rebecca Hall</t>
  </si>
  <si>
    <t>Kevin Mendoza DVM</t>
  </si>
  <si>
    <t>â‚¬111.4</t>
  </si>
  <si>
    <t>James Lopez</t>
  </si>
  <si>
    <t>Carla Cole</t>
  </si>
  <si>
    <t>â‚¬161.54</t>
  </si>
  <si>
    <t>Christopher Powell</t>
  </si>
  <si>
    <t>Gary Wood</t>
  </si>
  <si>
    <t>Rs479.37</t>
  </si>
  <si>
    <t>Barbara Dalton</t>
  </si>
  <si>
    <t>Rachel Holloway</t>
  </si>
  <si>
    <t>$306.94</t>
  </si>
  <si>
    <t>Alejandra Turner</t>
  </si>
  <si>
    <t>â‚¬194.95</t>
  </si>
  <si>
    <t>Kelsey Shaffer</t>
  </si>
  <si>
    <t>Christina Simmons</t>
  </si>
  <si>
    <t>â‚¬91.05</t>
  </si>
  <si>
    <t>Kara Stewart</t>
  </si>
  <si>
    <t>Becky Sanchez</t>
  </si>
  <si>
    <t>â‚¬290.36</t>
  </si>
  <si>
    <t>Kenneth Fox</t>
  </si>
  <si>
    <t>Kimberly Sullivan</t>
  </si>
  <si>
    <t>$85.53</t>
  </si>
  <si>
    <t>Michelle Bradford</t>
  </si>
  <si>
    <t>â‚¬419.74</t>
  </si>
  <si>
    <t>Amy Wilson</t>
  </si>
  <si>
    <t>Nathan Mathews</t>
  </si>
  <si>
    <t>Danielle Ortega</t>
  </si>
  <si>
    <t>Tiffany Lowery</t>
  </si>
  <si>
    <t>$83.67</t>
  </si>
  <si>
    <t>Gregory Hines</t>
  </si>
  <si>
    <t>Rebecca Goodwin</t>
  </si>
  <si>
    <t>Rs255.43</t>
  </si>
  <si>
    <t>Amanda Douglas</t>
  </si>
  <si>
    <t>Gregory Gonzalez</t>
  </si>
  <si>
    <t>Scott Walker</t>
  </si>
  <si>
    <t>03/22/2026</t>
  </si>
  <si>
    <t>Brianna Hernandez</t>
  </si>
  <si>
    <t>$433.63</t>
  </si>
  <si>
    <t>Teresa Kim</t>
  </si>
  <si>
    <t>Gregory Brown</t>
  </si>
  <si>
    <t>Rs461.04</t>
  </si>
  <si>
    <t>Kimberly Miller</t>
  </si>
  <si>
    <t>Anna Jennings</t>
  </si>
  <si>
    <t>Â£261.01</t>
  </si>
  <si>
    <t>Ashley Black</t>
  </si>
  <si>
    <t>Dennis Murphy</t>
  </si>
  <si>
    <t>Wendy Parks</t>
  </si>
  <si>
    <t>Melissa Williams</t>
  </si>
  <si>
    <t>Stacy Clements</t>
  </si>
  <si>
    <t>Cynthia Dunn</t>
  </si>
  <si>
    <t>Rs96.19</t>
  </si>
  <si>
    <t>Kyle Gibbs</t>
  </si>
  <si>
    <t>10/29/2024</t>
  </si>
  <si>
    <t>Christopher Guzman</t>
  </si>
  <si>
    <t>Â£248.76</t>
  </si>
  <si>
    <t>Beth Stephens</t>
  </si>
  <si>
    <t>04/13/2025</t>
  </si>
  <si>
    <t>Scott Nguyen</t>
  </si>
  <si>
    <t>Rs246.63</t>
  </si>
  <si>
    <t>Michael Heath</t>
  </si>
  <si>
    <t>Rs256.59</t>
  </si>
  <si>
    <t>James Malone</t>
  </si>
  <si>
    <t>Rhonda Oconnor</t>
  </si>
  <si>
    <t>$326.84</t>
  </si>
  <si>
    <t>Christina Moore</t>
  </si>
  <si>
    <t>Joshua Martin</t>
  </si>
  <si>
    <t>Â£476.97</t>
  </si>
  <si>
    <t>Katie Mcdaniel</t>
  </si>
  <si>
    <t>Aaron Perkins</t>
  </si>
  <si>
    <t>$136.77</t>
  </si>
  <si>
    <t>Scott Thompson</t>
  </si>
  <si>
    <t>Erika Richards</t>
  </si>
  <si>
    <t>â‚¬466.59</t>
  </si>
  <si>
    <t>Jon Berry</t>
  </si>
  <si>
    <t>Heather Foster</t>
  </si>
  <si>
    <t>â‚¬342.3</t>
  </si>
  <si>
    <t>Connie Wheeler</t>
  </si>
  <si>
    <t>Sherri Buckley</t>
  </si>
  <si>
    <t>â‚¬444.2</t>
  </si>
  <si>
    <t>Jonathan Howell</t>
  </si>
  <si>
    <t>Darryl Case</t>
  </si>
  <si>
    <t>Rs421.18</t>
  </si>
  <si>
    <t>Michelle King</t>
  </si>
  <si>
    <t>Anthony Hughes</t>
  </si>
  <si>
    <t>â‚¬386.3</t>
  </si>
  <si>
    <t>Christine Barron</t>
  </si>
  <si>
    <t>Thomas Clark MD</t>
  </si>
  <si>
    <t>Rs107.04</t>
  </si>
  <si>
    <t>Dr. Karen Miller DDS</t>
  </si>
  <si>
    <t>Martin Herring</t>
  </si>
  <si>
    <t>Â£381.15</t>
  </si>
  <si>
    <t>Kimberly Barnett</t>
  </si>
  <si>
    <t>William Bryan</t>
  </si>
  <si>
    <t>â‚¬477.98</t>
  </si>
  <si>
    <t>Abigail Warner</t>
  </si>
  <si>
    <t>10/25/2025</t>
  </si>
  <si>
    <t>Heather Stokes</t>
  </si>
  <si>
    <t>â‚¬418.27</t>
  </si>
  <si>
    <t>Melissa Vaughn</t>
  </si>
  <si>
    <t>Vickie Johnson</t>
  </si>
  <si>
    <t>â‚¬300.52</t>
  </si>
  <si>
    <t>Jocelyn Strickland</t>
  </si>
  <si>
    <t>Vincent Kemp</t>
  </si>
  <si>
    <t>Lindsay Shaw</t>
  </si>
  <si>
    <t>Julia Mcmillan</t>
  </si>
  <si>
    <t>Â£485.93</t>
  </si>
  <si>
    <t>Melvin Bowers</t>
  </si>
  <si>
    <t>Robin Diaz</t>
  </si>
  <si>
    <t>Â£164.2</t>
  </si>
  <si>
    <t>Victoria Gilbert</t>
  </si>
  <si>
    <t>April Spears</t>
  </si>
  <si>
    <t>$390.1</t>
  </si>
  <si>
    <t>John Marsh</t>
  </si>
  <si>
    <t>Â£407.7</t>
  </si>
  <si>
    <t>Eugene Underwood</t>
  </si>
  <si>
    <t>Benjamin Williams</t>
  </si>
  <si>
    <t>Rs467.55</t>
  </si>
  <si>
    <t>Michelle Payne</t>
  </si>
  <si>
    <t>Cassandra Bishop</t>
  </si>
  <si>
    <t>â‚¬119.41</t>
  </si>
  <si>
    <t>Melanie Lee</t>
  </si>
  <si>
    <t>Andrea Kennedy</t>
  </si>
  <si>
    <t>Â£441.89</t>
  </si>
  <si>
    <t>Jessica Murray</t>
  </si>
  <si>
    <t>James Harris</t>
  </si>
  <si>
    <t>Rs184.38</t>
  </si>
  <si>
    <t>William Villarreal</t>
  </si>
  <si>
    <t>Ronald Davis</t>
  </si>
  <si>
    <t>$269.35</t>
  </si>
  <si>
    <t>Monica Jones</t>
  </si>
  <si>
    <t>Cheryl Bailey</t>
  </si>
  <si>
    <t>Rs363.94</t>
  </si>
  <si>
    <t>Craig Parsons</t>
  </si>
  <si>
    <t>Jose Price</t>
  </si>
  <si>
    <t>Â£323.0</t>
  </si>
  <si>
    <t>Cameron Lopez</t>
  </si>
  <si>
    <t>Christopher Williams</t>
  </si>
  <si>
    <t>$163.0</t>
  </si>
  <si>
    <t>Daniel Green</t>
  </si>
  <si>
    <t>Rs254.14</t>
  </si>
  <si>
    <t>William Hatfield</t>
  </si>
  <si>
    <t>$112.79</t>
  </si>
  <si>
    <t>Dawn Bryant</t>
  </si>
  <si>
    <t>Charles Nguyen</t>
  </si>
  <si>
    <t>Rs164.15</t>
  </si>
  <si>
    <t>Joseph Rodriguez</t>
  </si>
  <si>
    <t>06/15/2024</t>
  </si>
  <si>
    <t>Douglas Foster</t>
  </si>
  <si>
    <t>â‚¬94.37</t>
  </si>
  <si>
    <t>Bailey Williamson</t>
  </si>
  <si>
    <t>George Singleton</t>
  </si>
  <si>
    <t>$368.53</t>
  </si>
  <si>
    <t>Jeffrey Johnston</t>
  </si>
  <si>
    <t>Cynthia Baker</t>
  </si>
  <si>
    <t>Rs240.37</t>
  </si>
  <si>
    <t>Brandy Estes MD</t>
  </si>
  <si>
    <t>Andrea Lam</t>
  </si>
  <si>
    <t>Â£238.59</t>
  </si>
  <si>
    <t>Kristin Combs</t>
  </si>
  <si>
    <t>Frank Anderson</t>
  </si>
  <si>
    <t>Rs279.32</t>
  </si>
  <si>
    <t>Alex Rowe</t>
  </si>
  <si>
    <t>11/28/2025</t>
  </si>
  <si>
    <t>06/15/2025</t>
  </si>
  <si>
    <t>Derek Doyle</t>
  </si>
  <si>
    <t>Rs114.8</t>
  </si>
  <si>
    <t>Kevin Peters</t>
  </si>
  <si>
    <t>â‚¬96.78</t>
  </si>
  <si>
    <t>Hunter Miller</t>
  </si>
  <si>
    <t>Kathy Lawson</t>
  </si>
  <si>
    <t>Â£384.42</t>
  </si>
  <si>
    <t>Rebecca Franklin</t>
  </si>
  <si>
    <t>Daniel Love</t>
  </si>
  <si>
    <t>Rs187.7</t>
  </si>
  <si>
    <t>David Chapman</t>
  </si>
  <si>
    <t>Rachel Wells</t>
  </si>
  <si>
    <t>Â£382.67</t>
  </si>
  <si>
    <t>Timothy Fowler</t>
  </si>
  <si>
    <t>Donna Stephens</t>
  </si>
  <si>
    <t>â‚¬236.27</t>
  </si>
  <si>
    <t>Megan Russell</t>
  </si>
  <si>
    <t>Autumn Hill</t>
  </si>
  <si>
    <t>$359.17</t>
  </si>
  <si>
    <t>Courtney Wright</t>
  </si>
  <si>
    <t>Daniel Morris</t>
  </si>
  <si>
    <t>Rs362.65</t>
  </si>
  <si>
    <t>Natalie Marquez</t>
  </si>
  <si>
    <t>Jennifer Paul</t>
  </si>
  <si>
    <t>Â£401.58</t>
  </si>
  <si>
    <t>Sarah Wilson</t>
  </si>
  <si>
    <t>Courtney Foley</t>
  </si>
  <si>
    <t>$120.7</t>
  </si>
  <si>
    <t>Ashley Estes</t>
  </si>
  <si>
    <t>Stephanie Mercer</t>
  </si>
  <si>
    <t>Â£405.15</t>
  </si>
  <si>
    <t>William Bentley</t>
  </si>
  <si>
    <t>Jacob Mckay</t>
  </si>
  <si>
    <t>$263.3</t>
  </si>
  <si>
    <t>James Carey</t>
  </si>
  <si>
    <t>James Berger</t>
  </si>
  <si>
    <t>Â£470.08</t>
  </si>
  <si>
    <t>Nicholas Mcdaniel</t>
  </si>
  <si>
    <t>Daniel Smith</t>
  </si>
  <si>
    <t>â‚¬79.73</t>
  </si>
  <si>
    <t>Cheryl Rogers</t>
  </si>
  <si>
    <t>10/30/2025</t>
  </si>
  <si>
    <t>Victoria Hansen</t>
  </si>
  <si>
    <t>Â£376.76</t>
  </si>
  <si>
    <t>Patricia Jackson</t>
  </si>
  <si>
    <t>11/19/2024</t>
  </si>
  <si>
    <t>Rs378.92</t>
  </si>
  <si>
    <t>Erin Bates</t>
  </si>
  <si>
    <t>Chelsea Harris</t>
  </si>
  <si>
    <t>$370.13</t>
  </si>
  <si>
    <t>Aaron Holder</t>
  </si>
  <si>
    <t>Lauren Ayers</t>
  </si>
  <si>
    <t>Rs377.38</t>
  </si>
  <si>
    <t>Thomas Roman</t>
  </si>
  <si>
    <t>Robert Bass</t>
  </si>
  <si>
    <t>Rs200.43</t>
  </si>
  <si>
    <t>Jack Cooper</t>
  </si>
  <si>
    <t>Rs244.49</t>
  </si>
  <si>
    <t>Kimberly Johnson</t>
  </si>
  <si>
    <t>Â£154.48</t>
  </si>
  <si>
    <t>Anthony Mccoy</t>
  </si>
  <si>
    <t>$434.95</t>
  </si>
  <si>
    <t>Perry Crawford</t>
  </si>
  <si>
    <t>Marvin Hicks</t>
  </si>
  <si>
    <t>â‚¬102.23</t>
  </si>
  <si>
    <t>Billing_amt</t>
  </si>
  <si>
    <t>Data_Quality</t>
  </si>
  <si>
    <t>Patient_id</t>
  </si>
  <si>
    <t>Age</t>
  </si>
  <si>
    <t>Appointment_date</t>
  </si>
  <si>
    <t>Booking_date</t>
  </si>
  <si>
    <t>Patient</t>
  </si>
  <si>
    <t>Patient_Gender</t>
  </si>
  <si>
    <t>Doctor_Name</t>
  </si>
  <si>
    <t>Doctor_Department</t>
  </si>
  <si>
    <t>FollowUp_required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</si>
</sst>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15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8" fillId="0" borderId="0" xfId="0" applyFont="1"/>
    <xf numFmtId="166" fontId="18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mm/dd/yy;@"/>
      <alignment horizontal="center" vertical="center" textRotation="0" wrapText="0" indent="0" justifyLastLine="0" shrinkToFit="0" readingOrder="0"/>
    </dxf>
    <dxf>
      <numFmt numFmtId="166" formatCode="mm/dd/yy;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5E7A0C-D3B2-4DC6-A36F-743FEEAD43C2}" name="Table2" displayName="Table2" ref="A1:Q1001" totalsRowShown="0">
  <autoFilter ref="A1:Q1001" xr:uid="{C55E7A0C-D3B2-4DC6-A36F-743FEEAD43C2}">
    <filterColumn colId="2">
      <customFilters>
        <customFilter operator="greaterThan" val="0"/>
      </customFilters>
    </filterColumn>
  </autoFilter>
  <tableColumns count="17">
    <tableColumn id="1" xr3:uid="{11DF4A2B-F47C-4FC9-958D-6D7B8AB94076}" name="Patient_id"/>
    <tableColumn id="2" xr3:uid="{4F7FED47-0413-4C57-91FF-E6C0C64B9E44}" name="patient_name"/>
    <tableColumn id="3" xr3:uid="{BF8A35FF-F8F7-4CDB-AC21-1C9BFC24B43A}" name="Age"/>
    <tableColumn id="4" xr3:uid="{76653DCD-1216-4AED-83B6-2213FF5EC793}" name="gender"/>
    <tableColumn id="5" xr3:uid="{DD22FE2D-C263-491C-93C3-AE00865874CA}" name="Appointment_date" dataDxfId="8"/>
    <tableColumn id="6" xr3:uid="{75729A63-91E9-41EB-8AED-86A6A09D1FA4}" name="Booking_date" dataDxfId="7"/>
    <tableColumn id="7" xr3:uid="{9A14F2C8-0A25-484B-B8DB-17F8E29066E0}" name="doctor"/>
    <tableColumn id="8" xr3:uid="{EE35559E-0686-494E-8C00-7F2B6D7CC18B}" name="department"/>
    <tableColumn id="9" xr3:uid="{C1AE4014-81AE-4CAC-81BB-8A5C6A7CC987}" name="billing_amount"/>
    <tableColumn id="10" xr3:uid="{15AEFBFE-91DE-4BDF-9BCD-9C32A8734D90}" name="follow_up_required"/>
    <tableColumn id="11" xr3:uid="{D9F8DB5E-7B2F-4543-BF92-907F9C58746F}" name="Patient" dataDxfId="6">
      <calculatedColumnFormula>PROPER(TRIM(CLEAN(B2)))</calculatedColumnFormula>
    </tableColumn>
    <tableColumn id="12" xr3:uid="{335FCEFF-ADF9-43BF-8E9D-80A9902D17A5}" name="Patient_Gender" dataDxfId="5">
      <calculatedColumnFormula>_xlfn.LET(_xlpm.x,LOWER(TRIM(D2)),
IF(OR(_xlpm.x="f",_xlpm.x="female",_xlpm.x="1"),"Female",
IF(OR(_xlpm.x="m",_xlpm.x="male",_xlpm.x="0"),"Male",
IF(_xlpm.x="","Missing","Review"))))</calculatedColumnFormula>
    </tableColumn>
    <tableColumn id="13" xr3:uid="{B754F7C3-9A2D-4E85-85AB-2360A52F1E0E}" name="Doctor_Name" dataDxfId="4">
      <calculatedColumnFormula>PROPER(TRIM(CLEAN(G2)))</calculatedColumnFormula>
    </tableColumn>
    <tableColumn id="14" xr3:uid="{2FD66FB6-F28F-46D3-8681-5C175EFE0FBF}" name="Doctor_Department" dataDxfId="3">
      <calculatedColumnFormula>PROPER(TRIM(CLEAN(H2)))</calculatedColumnFormula>
    </tableColumn>
    <tableColumn id="15" xr3:uid="{8A8DCC4E-E3C6-4198-9929-5827F7BA05E6}" name="Billing_amt" dataDxfId="2">
      <calculatedColumnFormula>_xlfn.LET(_xlpm.x,TRIM(I2),IF(_xlpm.x="","0.00",IFERROR(VALUE(SUBSTITUTE(SUBSTITUTE(SUBSTITUTE(SUBSTITUTE(SUBSTITUTE(SUBSTITUTE(_xlpm.x,"Â£",""),"â‚¬",""),"$",""),"Rs",""),"£",""),"€","")),"0.00")))</calculatedColumnFormula>
    </tableColumn>
    <tableColumn id="16" xr3:uid="{2743291E-5059-486A-8F26-4FEA2009EC6A}" name="FollowUp_required" dataDxfId="1">
      <calculatedColumnFormula>_xlfn.LET(_xlpm.x,LOWER(TRIM(J2)),
IF(OR(_xlpm.x="y",_xlpm.x="yes",_xlpm.x="1"),"Yes",
IF(OR(_xlpm.x="n",_xlpm.x="no",_xlpm.x="0"),"No",
IF(_xlpm.x="","Missing","Review"))))</calculatedColumnFormula>
    </tableColumn>
    <tableColumn id="17" xr3:uid="{E05C7A4E-E511-4DB0-9A60-9598176BF303}" name="Data_Quality" dataDxfId="0">
      <calculatedColumnFormula>IF(OR(A2="",C2="",L2="Missing",M2="Missing",O2="0.00",K2="Missing"),"Needs Review","OK")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D91D-8961-4BCB-A6CA-BDF6FEC31264}">
  <dimension ref="A1:J1001"/>
  <sheetViews>
    <sheetView workbookViewId="0">
      <selection activeCell="E14" sqref="E14"/>
    </sheetView>
  </sheetViews>
  <sheetFormatPr defaultRowHeight="14.4" x14ac:dyDescent="0.3"/>
  <cols>
    <col min="1" max="1" width="9.21875" bestFit="1" customWidth="1"/>
    <col min="2" max="2" width="22.21875" bestFit="1" customWidth="1"/>
    <col min="3" max="3" width="3.88671875" bestFit="1" customWidth="1"/>
    <col min="4" max="4" width="6.88671875" bestFit="1" customWidth="1"/>
    <col min="5" max="5" width="16.21875" bestFit="1" customWidth="1"/>
    <col min="6" max="6" width="12.109375" bestFit="1" customWidth="1"/>
    <col min="7" max="7" width="20.77734375" bestFit="1" customWidth="1"/>
    <col min="8" max="8" width="10.88671875" bestFit="1" customWidth="1"/>
    <col min="9" max="9" width="13.109375" bestFit="1" customWidth="1"/>
    <col min="10" max="10" width="17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1080</v>
      </c>
      <c r="B2" t="s">
        <v>10</v>
      </c>
      <c r="C2">
        <v>76</v>
      </c>
      <c r="D2" t="s">
        <v>11</v>
      </c>
      <c r="E2" s="1">
        <v>46079</v>
      </c>
      <c r="F2" s="1">
        <v>45629</v>
      </c>
      <c r="G2" t="s">
        <v>12</v>
      </c>
      <c r="H2" t="s">
        <v>13</v>
      </c>
      <c r="I2" t="s">
        <v>14</v>
      </c>
      <c r="J2">
        <v>1</v>
      </c>
    </row>
    <row r="3" spans="1:10" x14ac:dyDescent="0.3">
      <c r="A3">
        <v>1074</v>
      </c>
      <c r="B3" t="s">
        <v>15</v>
      </c>
      <c r="C3">
        <v>69</v>
      </c>
      <c r="D3" t="s">
        <v>16</v>
      </c>
      <c r="E3" t="s">
        <v>17</v>
      </c>
      <c r="F3" s="2">
        <v>45455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3">
      <c r="A4">
        <v>1067</v>
      </c>
      <c r="B4" t="s">
        <v>22</v>
      </c>
      <c r="C4">
        <v>79</v>
      </c>
      <c r="D4" t="s">
        <v>23</v>
      </c>
      <c r="E4" s="2">
        <v>45991</v>
      </c>
      <c r="F4" s="2">
        <v>45509</v>
      </c>
      <c r="G4" t="s">
        <v>24</v>
      </c>
      <c r="H4" t="s">
        <v>25</v>
      </c>
      <c r="I4" t="s">
        <v>26</v>
      </c>
      <c r="J4" t="s">
        <v>21</v>
      </c>
    </row>
    <row r="5" spans="1:10" x14ac:dyDescent="0.3">
      <c r="A5">
        <v>1072</v>
      </c>
      <c r="B5" t="s">
        <v>27</v>
      </c>
      <c r="C5">
        <v>47</v>
      </c>
      <c r="D5" t="s">
        <v>16</v>
      </c>
      <c r="E5" s="2">
        <v>45795</v>
      </c>
      <c r="F5" s="1">
        <v>45544</v>
      </c>
      <c r="G5" t="s">
        <v>28</v>
      </c>
      <c r="H5" t="s">
        <v>29</v>
      </c>
      <c r="I5" t="s">
        <v>30</v>
      </c>
      <c r="J5" t="s">
        <v>31</v>
      </c>
    </row>
    <row r="6" spans="1:10" x14ac:dyDescent="0.3">
      <c r="A6">
        <v>1092</v>
      </c>
      <c r="B6" t="s">
        <v>32</v>
      </c>
      <c r="C6">
        <v>45</v>
      </c>
      <c r="E6" s="1">
        <v>46088</v>
      </c>
      <c r="F6" t="s">
        <v>33</v>
      </c>
      <c r="G6" t="s">
        <v>34</v>
      </c>
      <c r="H6" t="s">
        <v>29</v>
      </c>
      <c r="I6" t="s">
        <v>35</v>
      </c>
      <c r="J6">
        <v>1</v>
      </c>
    </row>
    <row r="7" spans="1:10" x14ac:dyDescent="0.3">
      <c r="A7">
        <v>1057</v>
      </c>
      <c r="B7" t="s">
        <v>36</v>
      </c>
      <c r="C7">
        <v>78</v>
      </c>
      <c r="D7">
        <v>1</v>
      </c>
      <c r="E7" s="2">
        <v>45926</v>
      </c>
      <c r="F7" t="s">
        <v>37</v>
      </c>
      <c r="G7" t="s">
        <v>38</v>
      </c>
      <c r="H7" t="s">
        <v>29</v>
      </c>
      <c r="J7" t="s">
        <v>39</v>
      </c>
    </row>
    <row r="8" spans="1:10" x14ac:dyDescent="0.3">
      <c r="A8">
        <v>1018</v>
      </c>
      <c r="B8" t="s">
        <v>40</v>
      </c>
      <c r="C8">
        <v>22</v>
      </c>
      <c r="D8" t="s">
        <v>41</v>
      </c>
      <c r="E8" s="2">
        <v>45960</v>
      </c>
      <c r="F8" t="s">
        <v>42</v>
      </c>
      <c r="G8" t="s">
        <v>43</v>
      </c>
      <c r="H8" t="s">
        <v>13</v>
      </c>
      <c r="I8" t="s">
        <v>44</v>
      </c>
      <c r="J8" t="s">
        <v>31</v>
      </c>
    </row>
    <row r="9" spans="1:10" x14ac:dyDescent="0.3">
      <c r="A9">
        <v>1074</v>
      </c>
      <c r="B9" t="s">
        <v>45</v>
      </c>
      <c r="C9">
        <v>57</v>
      </c>
      <c r="D9" t="s">
        <v>23</v>
      </c>
      <c r="E9" s="1">
        <v>45770</v>
      </c>
      <c r="F9" s="2">
        <v>45744</v>
      </c>
      <c r="G9" t="s">
        <v>46</v>
      </c>
      <c r="H9" t="s">
        <v>25</v>
      </c>
      <c r="I9" t="s">
        <v>47</v>
      </c>
      <c r="J9" t="s">
        <v>31</v>
      </c>
    </row>
    <row r="10" spans="1:10" x14ac:dyDescent="0.3">
      <c r="A10">
        <v>1041</v>
      </c>
      <c r="B10" t="s">
        <v>48</v>
      </c>
      <c r="C10">
        <v>54</v>
      </c>
      <c r="D10" t="s">
        <v>11</v>
      </c>
      <c r="E10" s="2">
        <v>45891</v>
      </c>
      <c r="F10" s="1">
        <v>45603</v>
      </c>
      <c r="G10" t="s">
        <v>49</v>
      </c>
      <c r="H10" t="s">
        <v>29</v>
      </c>
      <c r="I10" t="s">
        <v>50</v>
      </c>
      <c r="J10" t="s">
        <v>39</v>
      </c>
    </row>
    <row r="11" spans="1:10" x14ac:dyDescent="0.3">
      <c r="A11">
        <v>1011</v>
      </c>
      <c r="B11" t="s">
        <v>51</v>
      </c>
      <c r="C11">
        <v>45</v>
      </c>
      <c r="D11" t="s">
        <v>23</v>
      </c>
      <c r="E11" t="s">
        <v>52</v>
      </c>
      <c r="F11" s="2">
        <v>46003</v>
      </c>
      <c r="G11" t="s">
        <v>53</v>
      </c>
      <c r="H11" t="s">
        <v>25</v>
      </c>
      <c r="I11" t="s">
        <v>54</v>
      </c>
      <c r="J11" t="s">
        <v>39</v>
      </c>
    </row>
    <row r="12" spans="1:10" x14ac:dyDescent="0.3">
      <c r="A12">
        <v>1086</v>
      </c>
      <c r="B12" t="s">
        <v>55</v>
      </c>
      <c r="C12">
        <v>54</v>
      </c>
      <c r="D12" t="s">
        <v>56</v>
      </c>
      <c r="E12" s="1">
        <v>45771</v>
      </c>
      <c r="F12" s="2">
        <v>45572</v>
      </c>
      <c r="G12" t="s">
        <v>57</v>
      </c>
      <c r="H12" t="s">
        <v>13</v>
      </c>
      <c r="I12" t="s">
        <v>58</v>
      </c>
      <c r="J12" t="s">
        <v>21</v>
      </c>
    </row>
    <row r="13" spans="1:10" x14ac:dyDescent="0.3">
      <c r="A13">
        <v>1041</v>
      </c>
      <c r="B13" t="s">
        <v>59</v>
      </c>
      <c r="C13">
        <v>68</v>
      </c>
      <c r="D13" t="s">
        <v>16</v>
      </c>
      <c r="E13" s="1">
        <v>46088</v>
      </c>
      <c r="F13" s="1">
        <v>45406</v>
      </c>
      <c r="G13" t="s">
        <v>60</v>
      </c>
      <c r="H13" t="s">
        <v>29</v>
      </c>
      <c r="I13" t="s">
        <v>61</v>
      </c>
      <c r="J13" t="s">
        <v>39</v>
      </c>
    </row>
    <row r="14" spans="1:10" x14ac:dyDescent="0.3">
      <c r="A14">
        <v>1057</v>
      </c>
      <c r="B14" t="s">
        <v>62</v>
      </c>
      <c r="C14">
        <v>61</v>
      </c>
      <c r="D14">
        <v>1</v>
      </c>
      <c r="E14" s="1">
        <v>45869</v>
      </c>
      <c r="F14" s="2">
        <v>45417</v>
      </c>
      <c r="G14" t="s">
        <v>63</v>
      </c>
      <c r="H14" t="s">
        <v>25</v>
      </c>
      <c r="I14" t="s">
        <v>64</v>
      </c>
      <c r="J14" t="s">
        <v>65</v>
      </c>
    </row>
    <row r="15" spans="1:10" x14ac:dyDescent="0.3">
      <c r="A15">
        <v>1022</v>
      </c>
      <c r="B15" t="s">
        <v>66</v>
      </c>
      <c r="C15">
        <v>70</v>
      </c>
      <c r="D15" t="s">
        <v>23</v>
      </c>
      <c r="E15" s="2">
        <v>45921</v>
      </c>
      <c r="F15" s="2">
        <v>45602</v>
      </c>
      <c r="G15" t="s">
        <v>67</v>
      </c>
      <c r="H15" t="s">
        <v>19</v>
      </c>
      <c r="I15" t="s">
        <v>68</v>
      </c>
      <c r="J15" t="s">
        <v>21</v>
      </c>
    </row>
    <row r="16" spans="1:10" x14ac:dyDescent="0.3">
      <c r="A16">
        <v>1046</v>
      </c>
      <c r="B16" t="s">
        <v>69</v>
      </c>
      <c r="C16">
        <v>36</v>
      </c>
      <c r="D16" t="s">
        <v>16</v>
      </c>
      <c r="E16" s="1">
        <v>46093</v>
      </c>
      <c r="F16" s="1">
        <v>45880</v>
      </c>
      <c r="G16" t="s">
        <v>70</v>
      </c>
      <c r="H16" t="s">
        <v>13</v>
      </c>
      <c r="I16" t="s">
        <v>71</v>
      </c>
      <c r="J16" t="s">
        <v>65</v>
      </c>
    </row>
    <row r="17" spans="1:10" x14ac:dyDescent="0.3">
      <c r="A17">
        <v>1025</v>
      </c>
      <c r="B17" t="s">
        <v>72</v>
      </c>
      <c r="C17">
        <v>23</v>
      </c>
      <c r="D17" t="s">
        <v>11</v>
      </c>
      <c r="E17" s="2">
        <v>46059</v>
      </c>
      <c r="F17" s="1">
        <v>45725</v>
      </c>
      <c r="G17" t="s">
        <v>73</v>
      </c>
      <c r="H17" t="s">
        <v>19</v>
      </c>
      <c r="I17" t="s">
        <v>74</v>
      </c>
      <c r="J17" t="s">
        <v>21</v>
      </c>
    </row>
    <row r="18" spans="1:10" x14ac:dyDescent="0.3">
      <c r="A18">
        <v>1027</v>
      </c>
      <c r="B18" t="s">
        <v>75</v>
      </c>
      <c r="C18">
        <v>72</v>
      </c>
      <c r="D18" t="s">
        <v>76</v>
      </c>
      <c r="E18" s="2">
        <v>45896</v>
      </c>
      <c r="F18" s="2">
        <v>45701</v>
      </c>
      <c r="G18" t="s">
        <v>77</v>
      </c>
      <c r="H18" t="s">
        <v>13</v>
      </c>
      <c r="I18" t="s">
        <v>78</v>
      </c>
      <c r="J18" t="s">
        <v>39</v>
      </c>
    </row>
    <row r="19" spans="1:10" x14ac:dyDescent="0.3">
      <c r="A19">
        <v>1059</v>
      </c>
      <c r="B19" t="s">
        <v>79</v>
      </c>
      <c r="C19">
        <v>66</v>
      </c>
      <c r="D19" t="s">
        <v>41</v>
      </c>
      <c r="E19" s="2">
        <v>45972</v>
      </c>
      <c r="F19" s="2">
        <v>45627</v>
      </c>
      <c r="G19" t="s">
        <v>80</v>
      </c>
      <c r="H19" t="s">
        <v>13</v>
      </c>
      <c r="I19" t="s">
        <v>81</v>
      </c>
      <c r="J19" t="s">
        <v>21</v>
      </c>
    </row>
    <row r="20" spans="1:10" x14ac:dyDescent="0.3">
      <c r="A20">
        <v>1086</v>
      </c>
      <c r="B20" t="s">
        <v>82</v>
      </c>
      <c r="C20">
        <v>81</v>
      </c>
      <c r="D20" t="s">
        <v>23</v>
      </c>
      <c r="E20" s="1">
        <v>45934</v>
      </c>
      <c r="F20" s="1">
        <v>45642</v>
      </c>
      <c r="G20" t="s">
        <v>83</v>
      </c>
      <c r="H20" t="s">
        <v>29</v>
      </c>
      <c r="I20" t="s">
        <v>84</v>
      </c>
      <c r="J20">
        <v>1</v>
      </c>
    </row>
    <row r="21" spans="1:10" x14ac:dyDescent="0.3">
      <c r="A21">
        <v>1033</v>
      </c>
      <c r="B21" t="s">
        <v>85</v>
      </c>
      <c r="C21">
        <v>76</v>
      </c>
      <c r="D21" t="s">
        <v>41</v>
      </c>
      <c r="E21" s="1">
        <v>45966</v>
      </c>
      <c r="F21" s="1">
        <v>45800</v>
      </c>
      <c r="G21" t="s">
        <v>86</v>
      </c>
      <c r="H21" t="s">
        <v>25</v>
      </c>
      <c r="I21" t="s">
        <v>87</v>
      </c>
      <c r="J21" t="s">
        <v>39</v>
      </c>
    </row>
    <row r="22" spans="1:10" x14ac:dyDescent="0.3">
      <c r="A22">
        <v>1069</v>
      </c>
      <c r="B22" t="s">
        <v>88</v>
      </c>
      <c r="C22">
        <v>90</v>
      </c>
      <c r="D22" t="s">
        <v>56</v>
      </c>
      <c r="E22" s="2">
        <v>45944</v>
      </c>
      <c r="F22" s="2">
        <v>45440</v>
      </c>
      <c r="G22" t="s">
        <v>89</v>
      </c>
      <c r="H22" t="s">
        <v>25</v>
      </c>
      <c r="I22" t="s">
        <v>90</v>
      </c>
      <c r="J22" t="s">
        <v>65</v>
      </c>
    </row>
    <row r="23" spans="1:10" x14ac:dyDescent="0.3">
      <c r="A23">
        <v>1097</v>
      </c>
      <c r="B23" t="s">
        <v>91</v>
      </c>
      <c r="C23">
        <v>56</v>
      </c>
      <c r="D23" t="s">
        <v>56</v>
      </c>
      <c r="E23" s="2">
        <v>45792</v>
      </c>
      <c r="F23" s="2">
        <v>45417</v>
      </c>
      <c r="G23" t="s">
        <v>92</v>
      </c>
      <c r="H23" t="s">
        <v>19</v>
      </c>
      <c r="I23" t="s">
        <v>93</v>
      </c>
      <c r="J23" t="s">
        <v>21</v>
      </c>
    </row>
    <row r="24" spans="1:10" x14ac:dyDescent="0.3">
      <c r="A24">
        <v>1064</v>
      </c>
      <c r="B24" t="s">
        <v>94</v>
      </c>
      <c r="C24">
        <v>88</v>
      </c>
      <c r="D24" t="s">
        <v>11</v>
      </c>
      <c r="E24" t="s">
        <v>95</v>
      </c>
      <c r="F24" s="1">
        <v>45634</v>
      </c>
      <c r="G24" t="s">
        <v>96</v>
      </c>
      <c r="H24" t="s">
        <v>29</v>
      </c>
      <c r="I24" t="s">
        <v>97</v>
      </c>
      <c r="J24" t="s">
        <v>31</v>
      </c>
    </row>
    <row r="25" spans="1:10" x14ac:dyDescent="0.3">
      <c r="A25">
        <v>1089</v>
      </c>
      <c r="B25" t="s">
        <v>98</v>
      </c>
      <c r="C25">
        <v>32</v>
      </c>
      <c r="D25" t="s">
        <v>16</v>
      </c>
      <c r="E25" s="1">
        <v>45788</v>
      </c>
      <c r="F25" s="1">
        <v>45479</v>
      </c>
      <c r="G25" t="s">
        <v>99</v>
      </c>
      <c r="H25" t="s">
        <v>25</v>
      </c>
      <c r="I25" t="s">
        <v>100</v>
      </c>
      <c r="J25" t="s">
        <v>65</v>
      </c>
    </row>
    <row r="26" spans="1:10" x14ac:dyDescent="0.3">
      <c r="A26">
        <v>1086</v>
      </c>
      <c r="B26" t="s">
        <v>101</v>
      </c>
      <c r="C26">
        <v>34</v>
      </c>
      <c r="D26" t="s">
        <v>16</v>
      </c>
      <c r="E26" t="s">
        <v>102</v>
      </c>
      <c r="F26" s="1">
        <v>45391</v>
      </c>
      <c r="G26" t="s">
        <v>103</v>
      </c>
      <c r="H26" t="s">
        <v>13</v>
      </c>
      <c r="I26" t="s">
        <v>104</v>
      </c>
      <c r="J26" t="s">
        <v>21</v>
      </c>
    </row>
    <row r="27" spans="1:10" x14ac:dyDescent="0.3">
      <c r="A27">
        <v>1073</v>
      </c>
      <c r="B27" t="s">
        <v>105</v>
      </c>
      <c r="C27">
        <v>88</v>
      </c>
      <c r="D27">
        <v>0</v>
      </c>
      <c r="E27" s="2">
        <v>45835</v>
      </c>
      <c r="F27" s="1">
        <v>45813</v>
      </c>
      <c r="G27" t="s">
        <v>106</v>
      </c>
      <c r="H27" t="s">
        <v>29</v>
      </c>
      <c r="I27" t="s">
        <v>107</v>
      </c>
      <c r="J27" t="s">
        <v>21</v>
      </c>
    </row>
    <row r="28" spans="1:10" x14ac:dyDescent="0.3">
      <c r="A28">
        <v>1093</v>
      </c>
      <c r="B28" t="s">
        <v>108</v>
      </c>
      <c r="C28">
        <v>20</v>
      </c>
      <c r="D28" t="s">
        <v>56</v>
      </c>
      <c r="E28" t="s">
        <v>109</v>
      </c>
      <c r="F28" s="2">
        <v>45821</v>
      </c>
      <c r="G28" t="s">
        <v>110</v>
      </c>
      <c r="H28" t="s">
        <v>13</v>
      </c>
      <c r="I28" t="s">
        <v>111</v>
      </c>
      <c r="J28">
        <v>1</v>
      </c>
    </row>
    <row r="29" spans="1:10" x14ac:dyDescent="0.3">
      <c r="A29">
        <v>1084</v>
      </c>
      <c r="B29" t="s">
        <v>112</v>
      </c>
      <c r="C29">
        <v>86</v>
      </c>
      <c r="D29" t="s">
        <v>56</v>
      </c>
      <c r="E29" s="1">
        <v>46237</v>
      </c>
      <c r="F29" s="2">
        <v>45482</v>
      </c>
      <c r="G29" t="s">
        <v>113</v>
      </c>
      <c r="H29" t="s">
        <v>25</v>
      </c>
      <c r="I29" t="s">
        <v>114</v>
      </c>
      <c r="J29" t="s">
        <v>39</v>
      </c>
    </row>
    <row r="30" spans="1:10" x14ac:dyDescent="0.3">
      <c r="A30">
        <v>1002</v>
      </c>
      <c r="B30" t="s">
        <v>115</v>
      </c>
      <c r="C30">
        <v>42</v>
      </c>
      <c r="D30" t="s">
        <v>23</v>
      </c>
      <c r="E30" s="2">
        <v>45944</v>
      </c>
      <c r="F30" s="1">
        <v>45600</v>
      </c>
      <c r="G30" t="s">
        <v>116</v>
      </c>
      <c r="H30" t="s">
        <v>25</v>
      </c>
      <c r="I30" t="s">
        <v>117</v>
      </c>
      <c r="J30">
        <v>0</v>
      </c>
    </row>
    <row r="31" spans="1:10" x14ac:dyDescent="0.3">
      <c r="A31">
        <v>1030</v>
      </c>
      <c r="B31" t="s">
        <v>118</v>
      </c>
      <c r="C31">
        <v>18</v>
      </c>
      <c r="D31" t="s">
        <v>56</v>
      </c>
      <c r="E31" s="1">
        <v>45970</v>
      </c>
      <c r="F31" s="2">
        <v>45570</v>
      </c>
      <c r="G31" t="s">
        <v>119</v>
      </c>
      <c r="H31" t="s">
        <v>19</v>
      </c>
      <c r="I31" t="s">
        <v>120</v>
      </c>
      <c r="J31" t="s">
        <v>65</v>
      </c>
    </row>
    <row r="32" spans="1:10" x14ac:dyDescent="0.3">
      <c r="A32">
        <v>1043</v>
      </c>
      <c r="B32" t="s">
        <v>121</v>
      </c>
      <c r="C32">
        <v>82</v>
      </c>
      <c r="D32" t="s">
        <v>41</v>
      </c>
      <c r="E32" t="s">
        <v>122</v>
      </c>
      <c r="F32" s="2">
        <v>45859</v>
      </c>
      <c r="G32" t="s">
        <v>123</v>
      </c>
      <c r="H32" t="s">
        <v>29</v>
      </c>
      <c r="I32" t="s">
        <v>124</v>
      </c>
      <c r="J32" t="s">
        <v>31</v>
      </c>
    </row>
    <row r="33" spans="1:10" x14ac:dyDescent="0.3">
      <c r="A33">
        <v>1056</v>
      </c>
      <c r="B33" t="s">
        <v>125</v>
      </c>
      <c r="C33">
        <v>67</v>
      </c>
      <c r="D33" t="s">
        <v>11</v>
      </c>
      <c r="E33" s="2">
        <v>45913</v>
      </c>
      <c r="F33" s="1">
        <v>45664</v>
      </c>
      <c r="G33" t="s">
        <v>126</v>
      </c>
      <c r="H33" t="s">
        <v>19</v>
      </c>
      <c r="I33" t="s">
        <v>127</v>
      </c>
      <c r="J33" t="s">
        <v>39</v>
      </c>
    </row>
    <row r="34" spans="1:10" x14ac:dyDescent="0.3">
      <c r="A34">
        <v>1094</v>
      </c>
      <c r="B34" t="s">
        <v>128</v>
      </c>
      <c r="C34">
        <v>32</v>
      </c>
      <c r="D34" t="s">
        <v>56</v>
      </c>
      <c r="E34" s="2">
        <v>46090</v>
      </c>
      <c r="F34" s="1">
        <v>45610</v>
      </c>
      <c r="G34" t="s">
        <v>129</v>
      </c>
      <c r="H34" t="s">
        <v>29</v>
      </c>
      <c r="I34" t="s">
        <v>130</v>
      </c>
      <c r="J34">
        <v>0</v>
      </c>
    </row>
    <row r="35" spans="1:10" x14ac:dyDescent="0.3">
      <c r="A35">
        <v>1041</v>
      </c>
      <c r="B35" t="s">
        <v>131</v>
      </c>
      <c r="C35">
        <v>20</v>
      </c>
      <c r="D35" t="s">
        <v>56</v>
      </c>
      <c r="E35" s="1">
        <v>45843</v>
      </c>
      <c r="F35" t="s">
        <v>132</v>
      </c>
      <c r="G35" t="s">
        <v>133</v>
      </c>
      <c r="H35" t="s">
        <v>25</v>
      </c>
      <c r="J35" t="s">
        <v>21</v>
      </c>
    </row>
    <row r="36" spans="1:10" x14ac:dyDescent="0.3">
      <c r="A36">
        <v>1071</v>
      </c>
      <c r="B36" t="s">
        <v>134</v>
      </c>
      <c r="C36">
        <v>46</v>
      </c>
      <c r="D36">
        <v>0</v>
      </c>
      <c r="E36" s="2">
        <v>46032</v>
      </c>
      <c r="F36" s="2">
        <v>45597</v>
      </c>
      <c r="G36" t="s">
        <v>135</v>
      </c>
      <c r="H36" t="s">
        <v>29</v>
      </c>
      <c r="I36" t="s">
        <v>136</v>
      </c>
      <c r="J36" t="s">
        <v>31</v>
      </c>
    </row>
    <row r="37" spans="1:10" x14ac:dyDescent="0.3">
      <c r="A37">
        <v>1051</v>
      </c>
      <c r="B37" t="s">
        <v>137</v>
      </c>
      <c r="C37">
        <v>26</v>
      </c>
      <c r="D37" t="s">
        <v>76</v>
      </c>
      <c r="E37" s="1">
        <v>45815</v>
      </c>
      <c r="F37" s="2">
        <v>45635</v>
      </c>
      <c r="G37" t="s">
        <v>138</v>
      </c>
      <c r="H37" t="s">
        <v>19</v>
      </c>
      <c r="I37" t="s">
        <v>139</v>
      </c>
      <c r="J37" t="s">
        <v>39</v>
      </c>
    </row>
    <row r="38" spans="1:10" x14ac:dyDescent="0.3">
      <c r="A38">
        <v>1003</v>
      </c>
      <c r="B38" t="s">
        <v>140</v>
      </c>
      <c r="C38">
        <v>19</v>
      </c>
      <c r="E38" s="2">
        <v>45946</v>
      </c>
      <c r="F38" t="s">
        <v>141</v>
      </c>
      <c r="G38" t="s">
        <v>142</v>
      </c>
      <c r="H38" t="s">
        <v>25</v>
      </c>
      <c r="I38" t="s">
        <v>143</v>
      </c>
      <c r="J38">
        <v>0</v>
      </c>
    </row>
    <row r="39" spans="1:10" x14ac:dyDescent="0.3">
      <c r="A39">
        <v>1053</v>
      </c>
      <c r="B39" t="s">
        <v>144</v>
      </c>
      <c r="C39">
        <v>37</v>
      </c>
      <c r="D39">
        <v>1</v>
      </c>
      <c r="E39" s="2">
        <v>45915</v>
      </c>
      <c r="F39" s="1">
        <v>45421</v>
      </c>
      <c r="G39" t="s">
        <v>145</v>
      </c>
      <c r="H39" t="s">
        <v>19</v>
      </c>
      <c r="I39" t="s">
        <v>146</v>
      </c>
      <c r="J39">
        <v>0</v>
      </c>
    </row>
    <row r="40" spans="1:10" x14ac:dyDescent="0.3">
      <c r="A40">
        <v>1052</v>
      </c>
      <c r="B40" t="s">
        <v>147</v>
      </c>
      <c r="C40">
        <v>84</v>
      </c>
      <c r="D40">
        <v>0</v>
      </c>
      <c r="E40" s="2">
        <v>45908</v>
      </c>
      <c r="F40" s="1">
        <v>45793</v>
      </c>
      <c r="G40" t="s">
        <v>148</v>
      </c>
      <c r="H40" t="s">
        <v>19</v>
      </c>
      <c r="I40" t="s">
        <v>149</v>
      </c>
      <c r="J40">
        <v>0</v>
      </c>
    </row>
    <row r="41" spans="1:10" x14ac:dyDescent="0.3">
      <c r="A41">
        <v>1018</v>
      </c>
      <c r="B41" t="s">
        <v>150</v>
      </c>
      <c r="C41">
        <v>55</v>
      </c>
      <c r="D41" t="s">
        <v>16</v>
      </c>
      <c r="E41" s="1">
        <v>46082</v>
      </c>
      <c r="F41" s="1">
        <v>45446</v>
      </c>
      <c r="G41" t="s">
        <v>151</v>
      </c>
      <c r="H41" t="s">
        <v>25</v>
      </c>
      <c r="I41" t="s">
        <v>152</v>
      </c>
      <c r="J41">
        <v>0</v>
      </c>
    </row>
    <row r="42" spans="1:10" x14ac:dyDescent="0.3">
      <c r="A42">
        <v>1001</v>
      </c>
      <c r="B42" t="s">
        <v>153</v>
      </c>
      <c r="C42">
        <v>50</v>
      </c>
      <c r="D42" t="s">
        <v>76</v>
      </c>
      <c r="E42" s="2">
        <v>45886</v>
      </c>
      <c r="F42" s="2">
        <v>45558</v>
      </c>
      <c r="G42" t="s">
        <v>154</v>
      </c>
      <c r="H42" t="s">
        <v>19</v>
      </c>
      <c r="I42" t="s">
        <v>155</v>
      </c>
      <c r="J42" t="s">
        <v>39</v>
      </c>
    </row>
    <row r="43" spans="1:10" x14ac:dyDescent="0.3">
      <c r="A43">
        <v>1060</v>
      </c>
      <c r="B43" t="s">
        <v>156</v>
      </c>
      <c r="C43">
        <v>61</v>
      </c>
      <c r="D43">
        <v>1</v>
      </c>
      <c r="E43" s="2">
        <v>45980</v>
      </c>
      <c r="F43" s="2">
        <v>45410</v>
      </c>
      <c r="G43" t="s">
        <v>157</v>
      </c>
      <c r="H43" t="s">
        <v>29</v>
      </c>
      <c r="I43" t="s">
        <v>158</v>
      </c>
      <c r="J43" t="s">
        <v>21</v>
      </c>
    </row>
    <row r="44" spans="1:10" x14ac:dyDescent="0.3">
      <c r="A44">
        <v>1055</v>
      </c>
      <c r="B44" t="s">
        <v>159</v>
      </c>
      <c r="C44">
        <v>35</v>
      </c>
      <c r="D44" t="s">
        <v>76</v>
      </c>
      <c r="E44" s="2">
        <v>45801</v>
      </c>
      <c r="F44" s="1">
        <v>45491</v>
      </c>
      <c r="G44" t="s">
        <v>160</v>
      </c>
      <c r="H44" t="s">
        <v>19</v>
      </c>
      <c r="I44" t="s">
        <v>161</v>
      </c>
      <c r="J44">
        <v>1</v>
      </c>
    </row>
    <row r="45" spans="1:10" x14ac:dyDescent="0.3">
      <c r="A45">
        <v>1063</v>
      </c>
      <c r="B45" t="s">
        <v>162</v>
      </c>
      <c r="C45">
        <v>29</v>
      </c>
      <c r="E45" s="1">
        <v>45916</v>
      </c>
      <c r="F45" s="2">
        <v>45776</v>
      </c>
      <c r="G45" t="s">
        <v>163</v>
      </c>
      <c r="H45" t="s">
        <v>19</v>
      </c>
      <c r="I45" t="s">
        <v>164</v>
      </c>
      <c r="J45">
        <v>0</v>
      </c>
    </row>
    <row r="46" spans="1:10" x14ac:dyDescent="0.3">
      <c r="A46">
        <v>1069</v>
      </c>
      <c r="B46" t="s">
        <v>165</v>
      </c>
      <c r="C46">
        <v>72</v>
      </c>
      <c r="D46">
        <v>0</v>
      </c>
      <c r="E46" s="2">
        <v>45880</v>
      </c>
      <c r="F46" s="2">
        <v>45383</v>
      </c>
      <c r="G46" t="s">
        <v>166</v>
      </c>
      <c r="H46" t="s">
        <v>25</v>
      </c>
      <c r="I46" t="s">
        <v>167</v>
      </c>
      <c r="J46" t="s">
        <v>21</v>
      </c>
    </row>
    <row r="47" spans="1:10" x14ac:dyDescent="0.3">
      <c r="A47">
        <v>1095</v>
      </c>
      <c r="B47" t="s">
        <v>168</v>
      </c>
      <c r="C47">
        <v>29</v>
      </c>
      <c r="D47">
        <v>0</v>
      </c>
      <c r="E47" s="2">
        <v>45891</v>
      </c>
      <c r="F47" s="2">
        <v>45772</v>
      </c>
      <c r="G47" t="s">
        <v>169</v>
      </c>
      <c r="H47" t="s">
        <v>25</v>
      </c>
      <c r="I47" t="s">
        <v>170</v>
      </c>
      <c r="J47" t="s">
        <v>39</v>
      </c>
    </row>
    <row r="48" spans="1:10" x14ac:dyDescent="0.3">
      <c r="A48">
        <v>1005</v>
      </c>
      <c r="B48" t="s">
        <v>171</v>
      </c>
      <c r="C48">
        <v>49</v>
      </c>
      <c r="D48">
        <v>1</v>
      </c>
      <c r="E48" s="1">
        <v>45997</v>
      </c>
      <c r="F48" s="1">
        <v>45515</v>
      </c>
      <c r="G48" t="s">
        <v>172</v>
      </c>
      <c r="H48" t="s">
        <v>13</v>
      </c>
      <c r="I48" t="s">
        <v>173</v>
      </c>
      <c r="J48" t="s">
        <v>65</v>
      </c>
    </row>
    <row r="49" spans="1:10" x14ac:dyDescent="0.3">
      <c r="A49">
        <v>1001</v>
      </c>
      <c r="B49" t="s">
        <v>174</v>
      </c>
      <c r="C49">
        <v>64</v>
      </c>
      <c r="D49" t="s">
        <v>11</v>
      </c>
      <c r="E49" s="2">
        <v>45867</v>
      </c>
      <c r="F49" s="1">
        <v>45451</v>
      </c>
      <c r="G49" t="s">
        <v>175</v>
      </c>
      <c r="H49" t="s">
        <v>19</v>
      </c>
      <c r="I49" t="s">
        <v>176</v>
      </c>
      <c r="J49" t="s">
        <v>65</v>
      </c>
    </row>
    <row r="50" spans="1:10" x14ac:dyDescent="0.3">
      <c r="A50">
        <v>1024</v>
      </c>
      <c r="B50" t="s">
        <v>177</v>
      </c>
      <c r="C50">
        <v>34</v>
      </c>
      <c r="D50" t="s">
        <v>41</v>
      </c>
      <c r="E50" s="2">
        <v>45931</v>
      </c>
      <c r="F50" s="1">
        <v>45578</v>
      </c>
      <c r="G50" t="s">
        <v>178</v>
      </c>
      <c r="H50" t="s">
        <v>19</v>
      </c>
      <c r="I50" t="s">
        <v>179</v>
      </c>
      <c r="J50" t="s">
        <v>31</v>
      </c>
    </row>
    <row r="51" spans="1:10" x14ac:dyDescent="0.3">
      <c r="A51">
        <v>1016</v>
      </c>
      <c r="B51" t="s">
        <v>180</v>
      </c>
      <c r="C51">
        <v>35</v>
      </c>
      <c r="D51">
        <v>0</v>
      </c>
      <c r="E51" s="2">
        <v>46021</v>
      </c>
      <c r="F51" s="1">
        <v>45747</v>
      </c>
      <c r="G51" t="s">
        <v>181</v>
      </c>
      <c r="H51" t="s">
        <v>19</v>
      </c>
      <c r="I51" t="s">
        <v>182</v>
      </c>
      <c r="J51">
        <v>1</v>
      </c>
    </row>
    <row r="52" spans="1:10" x14ac:dyDescent="0.3">
      <c r="A52">
        <v>1040</v>
      </c>
      <c r="B52" t="s">
        <v>183</v>
      </c>
      <c r="C52">
        <v>26</v>
      </c>
      <c r="D52" t="s">
        <v>56</v>
      </c>
      <c r="E52" t="s">
        <v>184</v>
      </c>
      <c r="F52" s="1">
        <v>45446</v>
      </c>
      <c r="G52" t="s">
        <v>185</v>
      </c>
      <c r="H52" t="s">
        <v>13</v>
      </c>
      <c r="I52" t="s">
        <v>186</v>
      </c>
      <c r="J52" t="s">
        <v>39</v>
      </c>
    </row>
    <row r="53" spans="1:10" x14ac:dyDescent="0.3">
      <c r="A53">
        <v>1042</v>
      </c>
      <c r="B53" t="s">
        <v>187</v>
      </c>
      <c r="C53">
        <v>30</v>
      </c>
      <c r="D53">
        <v>1</v>
      </c>
      <c r="E53" s="2">
        <v>45996</v>
      </c>
      <c r="F53" s="2">
        <v>45538</v>
      </c>
      <c r="G53" t="s">
        <v>188</v>
      </c>
      <c r="H53" t="s">
        <v>25</v>
      </c>
      <c r="I53" t="s">
        <v>189</v>
      </c>
      <c r="J53" t="s">
        <v>21</v>
      </c>
    </row>
    <row r="54" spans="1:10" x14ac:dyDescent="0.3">
      <c r="A54">
        <v>1015</v>
      </c>
      <c r="B54" t="s">
        <v>190</v>
      </c>
      <c r="C54">
        <v>66</v>
      </c>
      <c r="D54" t="s">
        <v>76</v>
      </c>
      <c r="E54" s="2">
        <v>46050</v>
      </c>
      <c r="F54" s="2">
        <v>45783</v>
      </c>
      <c r="G54" t="s">
        <v>191</v>
      </c>
      <c r="H54" t="s">
        <v>25</v>
      </c>
      <c r="I54" t="s">
        <v>192</v>
      </c>
      <c r="J54">
        <v>0</v>
      </c>
    </row>
    <row r="55" spans="1:10" x14ac:dyDescent="0.3">
      <c r="A55">
        <v>1053</v>
      </c>
      <c r="B55" t="s">
        <v>193</v>
      </c>
      <c r="C55">
        <v>49</v>
      </c>
      <c r="D55" t="s">
        <v>56</v>
      </c>
      <c r="E55" s="2">
        <v>45875</v>
      </c>
      <c r="F55" s="2">
        <v>45739</v>
      </c>
      <c r="G55" t="s">
        <v>194</v>
      </c>
      <c r="H55" t="s">
        <v>25</v>
      </c>
      <c r="I55" t="s">
        <v>195</v>
      </c>
      <c r="J55">
        <v>1</v>
      </c>
    </row>
    <row r="56" spans="1:10" x14ac:dyDescent="0.3">
      <c r="A56">
        <v>1063</v>
      </c>
      <c r="B56" t="s">
        <v>196</v>
      </c>
      <c r="C56">
        <v>62</v>
      </c>
      <c r="D56" t="s">
        <v>41</v>
      </c>
      <c r="E56" s="2">
        <v>46032</v>
      </c>
      <c r="F56" s="2">
        <v>45637</v>
      </c>
      <c r="G56" t="s">
        <v>197</v>
      </c>
      <c r="H56" t="s">
        <v>25</v>
      </c>
      <c r="I56" t="s">
        <v>198</v>
      </c>
      <c r="J56">
        <v>0</v>
      </c>
    </row>
    <row r="57" spans="1:10" x14ac:dyDescent="0.3">
      <c r="A57">
        <v>1068</v>
      </c>
      <c r="B57" t="s">
        <v>199</v>
      </c>
      <c r="C57">
        <v>63</v>
      </c>
      <c r="D57" t="s">
        <v>16</v>
      </c>
      <c r="E57" s="1">
        <v>45970</v>
      </c>
      <c r="F57" s="2">
        <v>45910</v>
      </c>
      <c r="G57" t="s">
        <v>200</v>
      </c>
      <c r="H57" t="s">
        <v>19</v>
      </c>
      <c r="I57" t="s">
        <v>201</v>
      </c>
      <c r="J57" t="s">
        <v>39</v>
      </c>
    </row>
    <row r="58" spans="1:10" x14ac:dyDescent="0.3">
      <c r="A58">
        <v>1006</v>
      </c>
      <c r="B58" t="s">
        <v>202</v>
      </c>
      <c r="C58">
        <v>48</v>
      </c>
      <c r="D58">
        <v>0</v>
      </c>
      <c r="E58" s="1">
        <v>45847</v>
      </c>
      <c r="F58" s="1">
        <v>45720</v>
      </c>
      <c r="G58" t="s">
        <v>203</v>
      </c>
      <c r="H58" t="s">
        <v>25</v>
      </c>
      <c r="I58" t="s">
        <v>204</v>
      </c>
      <c r="J58">
        <v>1</v>
      </c>
    </row>
    <row r="59" spans="1:10" x14ac:dyDescent="0.3">
      <c r="A59">
        <v>1047</v>
      </c>
      <c r="B59" t="s">
        <v>205</v>
      </c>
      <c r="C59">
        <v>87</v>
      </c>
      <c r="D59" t="s">
        <v>56</v>
      </c>
      <c r="E59" s="2">
        <v>45874</v>
      </c>
      <c r="F59" s="1">
        <v>45691</v>
      </c>
      <c r="G59" t="s">
        <v>206</v>
      </c>
      <c r="H59" t="s">
        <v>19</v>
      </c>
      <c r="I59" t="s">
        <v>207</v>
      </c>
      <c r="J59">
        <v>1</v>
      </c>
    </row>
    <row r="60" spans="1:10" x14ac:dyDescent="0.3">
      <c r="A60">
        <v>1095</v>
      </c>
      <c r="B60" t="s">
        <v>208</v>
      </c>
      <c r="C60">
        <v>58</v>
      </c>
      <c r="D60" t="s">
        <v>11</v>
      </c>
      <c r="E60" s="1">
        <v>45753</v>
      </c>
      <c r="F60" s="2">
        <v>45683</v>
      </c>
      <c r="G60" t="s">
        <v>209</v>
      </c>
      <c r="H60" t="s">
        <v>25</v>
      </c>
      <c r="I60" t="s">
        <v>210</v>
      </c>
      <c r="J60">
        <v>0</v>
      </c>
    </row>
    <row r="61" spans="1:10" x14ac:dyDescent="0.3">
      <c r="A61">
        <v>1009</v>
      </c>
      <c r="B61" t="s">
        <v>211</v>
      </c>
      <c r="C61">
        <v>63</v>
      </c>
      <c r="D61" t="s">
        <v>76</v>
      </c>
      <c r="E61" s="2">
        <v>45877</v>
      </c>
      <c r="F61" t="s">
        <v>212</v>
      </c>
      <c r="G61" t="s">
        <v>213</v>
      </c>
      <c r="H61" t="s">
        <v>29</v>
      </c>
      <c r="I61" t="s">
        <v>214</v>
      </c>
      <c r="J61" t="s">
        <v>39</v>
      </c>
    </row>
    <row r="62" spans="1:10" x14ac:dyDescent="0.3">
      <c r="A62">
        <v>1078</v>
      </c>
      <c r="B62" t="s">
        <v>215</v>
      </c>
      <c r="C62">
        <v>54</v>
      </c>
      <c r="D62">
        <v>0</v>
      </c>
      <c r="E62" s="2">
        <v>46000</v>
      </c>
      <c r="F62" s="2">
        <v>45850</v>
      </c>
      <c r="G62" t="s">
        <v>216</v>
      </c>
      <c r="H62" t="s">
        <v>29</v>
      </c>
      <c r="I62" t="s">
        <v>217</v>
      </c>
      <c r="J62" t="s">
        <v>31</v>
      </c>
    </row>
    <row r="63" spans="1:10" x14ac:dyDescent="0.3">
      <c r="A63">
        <v>1019</v>
      </c>
      <c r="B63" t="s">
        <v>218</v>
      </c>
      <c r="C63">
        <v>35</v>
      </c>
      <c r="D63" t="s">
        <v>16</v>
      </c>
      <c r="E63" s="2">
        <v>45985</v>
      </c>
      <c r="F63" s="1">
        <v>45601</v>
      </c>
      <c r="G63" t="s">
        <v>219</v>
      </c>
      <c r="H63" t="s">
        <v>19</v>
      </c>
      <c r="I63" t="s">
        <v>220</v>
      </c>
      <c r="J63" t="s">
        <v>39</v>
      </c>
    </row>
    <row r="64" spans="1:10" x14ac:dyDescent="0.3">
      <c r="A64">
        <v>1021</v>
      </c>
      <c r="B64" t="s">
        <v>221</v>
      </c>
      <c r="C64">
        <v>39</v>
      </c>
      <c r="D64" t="s">
        <v>23</v>
      </c>
      <c r="E64" s="1">
        <v>45836</v>
      </c>
      <c r="F64" t="s">
        <v>222</v>
      </c>
      <c r="G64" t="s">
        <v>223</v>
      </c>
      <c r="H64" t="s">
        <v>29</v>
      </c>
      <c r="I64" t="s">
        <v>224</v>
      </c>
      <c r="J64">
        <v>1</v>
      </c>
    </row>
    <row r="65" spans="1:10" x14ac:dyDescent="0.3">
      <c r="A65">
        <v>1018</v>
      </c>
      <c r="B65" t="s">
        <v>225</v>
      </c>
      <c r="C65">
        <v>78</v>
      </c>
      <c r="D65">
        <v>1</v>
      </c>
      <c r="E65" t="s">
        <v>102</v>
      </c>
      <c r="F65" t="s">
        <v>226</v>
      </c>
      <c r="G65" t="s">
        <v>227</v>
      </c>
      <c r="H65" t="s">
        <v>29</v>
      </c>
      <c r="I65" t="s">
        <v>228</v>
      </c>
      <c r="J65">
        <v>1</v>
      </c>
    </row>
    <row r="66" spans="1:10" x14ac:dyDescent="0.3">
      <c r="A66">
        <v>1077</v>
      </c>
      <c r="B66" t="s">
        <v>229</v>
      </c>
      <c r="C66">
        <v>34</v>
      </c>
      <c r="E66" t="s">
        <v>230</v>
      </c>
      <c r="F66" s="2">
        <v>45630</v>
      </c>
      <c r="G66" t="s">
        <v>231</v>
      </c>
      <c r="H66" t="s">
        <v>25</v>
      </c>
      <c r="I66" t="s">
        <v>232</v>
      </c>
      <c r="J66" t="s">
        <v>65</v>
      </c>
    </row>
    <row r="67" spans="1:10" x14ac:dyDescent="0.3">
      <c r="A67">
        <v>1063</v>
      </c>
      <c r="B67" t="s">
        <v>233</v>
      </c>
      <c r="C67">
        <v>21</v>
      </c>
      <c r="D67" t="s">
        <v>56</v>
      </c>
      <c r="E67" s="1">
        <v>45973</v>
      </c>
      <c r="F67" s="2">
        <v>45838</v>
      </c>
      <c r="G67" t="s">
        <v>234</v>
      </c>
      <c r="H67" t="s">
        <v>25</v>
      </c>
      <c r="I67" t="s">
        <v>235</v>
      </c>
      <c r="J67" t="s">
        <v>39</v>
      </c>
    </row>
    <row r="68" spans="1:10" x14ac:dyDescent="0.3">
      <c r="A68">
        <v>1015</v>
      </c>
      <c r="B68" t="s">
        <v>236</v>
      </c>
      <c r="C68">
        <v>37</v>
      </c>
      <c r="D68">
        <v>0</v>
      </c>
      <c r="E68" s="2">
        <v>45857</v>
      </c>
      <c r="F68" s="2">
        <v>45453</v>
      </c>
      <c r="G68" t="s">
        <v>237</v>
      </c>
      <c r="H68" t="s">
        <v>19</v>
      </c>
      <c r="I68" t="s">
        <v>238</v>
      </c>
      <c r="J68" t="s">
        <v>31</v>
      </c>
    </row>
    <row r="69" spans="1:10" x14ac:dyDescent="0.3">
      <c r="A69">
        <v>1068</v>
      </c>
      <c r="B69" t="s">
        <v>239</v>
      </c>
      <c r="C69">
        <v>60</v>
      </c>
      <c r="D69">
        <v>1</v>
      </c>
      <c r="E69" s="2">
        <v>46072</v>
      </c>
      <c r="F69" s="2">
        <v>45609</v>
      </c>
      <c r="G69" t="s">
        <v>240</v>
      </c>
      <c r="H69" t="s">
        <v>25</v>
      </c>
      <c r="I69" t="s">
        <v>241</v>
      </c>
      <c r="J69">
        <v>1</v>
      </c>
    </row>
    <row r="70" spans="1:10" x14ac:dyDescent="0.3">
      <c r="A70">
        <v>1010</v>
      </c>
      <c r="B70" t="s">
        <v>242</v>
      </c>
      <c r="C70">
        <v>38</v>
      </c>
      <c r="D70" t="s">
        <v>41</v>
      </c>
      <c r="E70" s="1">
        <v>46064</v>
      </c>
      <c r="F70" s="2">
        <v>45928</v>
      </c>
      <c r="G70" t="s">
        <v>243</v>
      </c>
      <c r="H70" t="s">
        <v>19</v>
      </c>
      <c r="I70" t="s">
        <v>244</v>
      </c>
      <c r="J70" t="s">
        <v>65</v>
      </c>
    </row>
    <row r="71" spans="1:10" x14ac:dyDescent="0.3">
      <c r="A71">
        <v>1034</v>
      </c>
      <c r="B71" t="s">
        <v>245</v>
      </c>
      <c r="C71">
        <v>68</v>
      </c>
      <c r="D71" t="s">
        <v>76</v>
      </c>
      <c r="E71" s="1">
        <v>45843</v>
      </c>
      <c r="F71" s="2">
        <v>45680</v>
      </c>
      <c r="G71" t="s">
        <v>246</v>
      </c>
      <c r="H71" t="s">
        <v>25</v>
      </c>
      <c r="I71" t="s">
        <v>247</v>
      </c>
      <c r="J71" t="s">
        <v>65</v>
      </c>
    </row>
    <row r="72" spans="1:10" x14ac:dyDescent="0.3">
      <c r="A72">
        <v>1095</v>
      </c>
      <c r="B72" t="s">
        <v>248</v>
      </c>
      <c r="C72">
        <v>86</v>
      </c>
      <c r="E72" s="1">
        <v>45833</v>
      </c>
      <c r="F72" t="s">
        <v>249</v>
      </c>
      <c r="G72" t="s">
        <v>250</v>
      </c>
      <c r="H72" t="s">
        <v>13</v>
      </c>
      <c r="I72" t="s">
        <v>251</v>
      </c>
      <c r="J72" t="s">
        <v>39</v>
      </c>
    </row>
    <row r="73" spans="1:10" x14ac:dyDescent="0.3">
      <c r="A73">
        <v>1070</v>
      </c>
      <c r="B73" t="s">
        <v>252</v>
      </c>
      <c r="C73">
        <v>85</v>
      </c>
      <c r="D73">
        <v>1</v>
      </c>
      <c r="E73" s="1">
        <v>45939</v>
      </c>
      <c r="F73" s="2">
        <v>45524</v>
      </c>
      <c r="G73" t="s">
        <v>253</v>
      </c>
      <c r="H73" t="s">
        <v>25</v>
      </c>
      <c r="I73" t="s">
        <v>254</v>
      </c>
      <c r="J73" t="s">
        <v>31</v>
      </c>
    </row>
    <row r="74" spans="1:10" x14ac:dyDescent="0.3">
      <c r="A74">
        <v>1099</v>
      </c>
      <c r="B74" t="s">
        <v>255</v>
      </c>
      <c r="C74">
        <v>28</v>
      </c>
      <c r="D74" t="s">
        <v>16</v>
      </c>
      <c r="E74" s="2">
        <v>45859</v>
      </c>
      <c r="F74" s="1">
        <v>45852</v>
      </c>
      <c r="G74" t="s">
        <v>256</v>
      </c>
      <c r="H74" t="s">
        <v>25</v>
      </c>
      <c r="I74" t="s">
        <v>257</v>
      </c>
      <c r="J74" t="s">
        <v>21</v>
      </c>
    </row>
    <row r="75" spans="1:10" x14ac:dyDescent="0.3">
      <c r="A75">
        <v>1022</v>
      </c>
      <c r="B75" t="s">
        <v>258</v>
      </c>
      <c r="C75">
        <v>23</v>
      </c>
      <c r="D75" t="s">
        <v>41</v>
      </c>
      <c r="E75" s="2">
        <v>46072</v>
      </c>
      <c r="F75" s="2">
        <v>45551</v>
      </c>
      <c r="G75" t="s">
        <v>259</v>
      </c>
      <c r="H75" t="s">
        <v>19</v>
      </c>
      <c r="I75" t="s">
        <v>260</v>
      </c>
      <c r="J75" t="s">
        <v>39</v>
      </c>
    </row>
    <row r="76" spans="1:10" x14ac:dyDescent="0.3">
      <c r="A76">
        <v>1095</v>
      </c>
      <c r="B76" t="s">
        <v>261</v>
      </c>
      <c r="C76">
        <v>86</v>
      </c>
      <c r="D76" t="s">
        <v>16</v>
      </c>
      <c r="E76" s="1">
        <v>45952</v>
      </c>
      <c r="F76" s="1">
        <v>45857</v>
      </c>
      <c r="G76" t="s">
        <v>262</v>
      </c>
      <c r="H76" t="s">
        <v>19</v>
      </c>
      <c r="I76" t="s">
        <v>263</v>
      </c>
      <c r="J76" t="s">
        <v>39</v>
      </c>
    </row>
    <row r="77" spans="1:10" x14ac:dyDescent="0.3">
      <c r="A77">
        <v>1061</v>
      </c>
      <c r="B77" t="s">
        <v>264</v>
      </c>
      <c r="C77">
        <v>66</v>
      </c>
      <c r="D77" t="s">
        <v>11</v>
      </c>
      <c r="E77" t="s">
        <v>265</v>
      </c>
      <c r="F77" s="1">
        <v>45724</v>
      </c>
      <c r="G77" t="s">
        <v>266</v>
      </c>
      <c r="H77" t="s">
        <v>25</v>
      </c>
      <c r="J77" t="s">
        <v>39</v>
      </c>
    </row>
    <row r="78" spans="1:10" x14ac:dyDescent="0.3">
      <c r="A78">
        <v>1088</v>
      </c>
      <c r="B78" t="s">
        <v>267</v>
      </c>
      <c r="C78">
        <v>22</v>
      </c>
      <c r="D78" t="s">
        <v>56</v>
      </c>
      <c r="E78" s="1">
        <v>45963</v>
      </c>
      <c r="F78" t="s">
        <v>268</v>
      </c>
      <c r="G78" t="s">
        <v>269</v>
      </c>
      <c r="H78" t="s">
        <v>29</v>
      </c>
      <c r="I78" t="s">
        <v>270</v>
      </c>
      <c r="J78">
        <v>1</v>
      </c>
    </row>
    <row r="79" spans="1:10" x14ac:dyDescent="0.3">
      <c r="A79">
        <v>1008</v>
      </c>
      <c r="B79" t="s">
        <v>271</v>
      </c>
      <c r="C79">
        <v>69</v>
      </c>
      <c r="D79" t="s">
        <v>16</v>
      </c>
      <c r="E79" s="2">
        <v>45931</v>
      </c>
      <c r="F79" s="1">
        <v>45435</v>
      </c>
      <c r="G79" t="s">
        <v>272</v>
      </c>
      <c r="H79" t="s">
        <v>19</v>
      </c>
      <c r="I79" t="s">
        <v>273</v>
      </c>
      <c r="J79">
        <v>0</v>
      </c>
    </row>
    <row r="80" spans="1:10" x14ac:dyDescent="0.3">
      <c r="A80">
        <v>1014</v>
      </c>
      <c r="B80" t="s">
        <v>274</v>
      </c>
      <c r="C80">
        <v>26</v>
      </c>
      <c r="D80">
        <v>0</v>
      </c>
      <c r="E80" s="1">
        <v>45928</v>
      </c>
      <c r="F80" s="2">
        <v>45481</v>
      </c>
      <c r="G80" t="s">
        <v>275</v>
      </c>
      <c r="H80" t="s">
        <v>13</v>
      </c>
      <c r="I80" t="s">
        <v>276</v>
      </c>
      <c r="J80">
        <v>1</v>
      </c>
    </row>
    <row r="81" spans="1:10" x14ac:dyDescent="0.3">
      <c r="A81">
        <v>1005</v>
      </c>
      <c r="B81" t="s">
        <v>277</v>
      </c>
      <c r="C81">
        <v>69</v>
      </c>
      <c r="D81" t="s">
        <v>23</v>
      </c>
      <c r="E81" s="2">
        <v>46083</v>
      </c>
      <c r="F81" s="2">
        <v>45617</v>
      </c>
      <c r="G81" t="s">
        <v>278</v>
      </c>
      <c r="H81" t="s">
        <v>29</v>
      </c>
      <c r="I81" t="s">
        <v>279</v>
      </c>
      <c r="J81">
        <v>1</v>
      </c>
    </row>
    <row r="82" spans="1:10" x14ac:dyDescent="0.3">
      <c r="A82">
        <v>1098</v>
      </c>
      <c r="B82" t="s">
        <v>280</v>
      </c>
      <c r="C82">
        <v>35</v>
      </c>
      <c r="D82" t="s">
        <v>11</v>
      </c>
      <c r="E82" s="2">
        <v>46094</v>
      </c>
      <c r="F82" s="2">
        <v>45865</v>
      </c>
      <c r="G82" t="s">
        <v>281</v>
      </c>
      <c r="H82" t="s">
        <v>19</v>
      </c>
      <c r="I82" t="s">
        <v>282</v>
      </c>
      <c r="J82">
        <v>1</v>
      </c>
    </row>
    <row r="83" spans="1:10" x14ac:dyDescent="0.3">
      <c r="A83">
        <v>1074</v>
      </c>
      <c r="B83" t="s">
        <v>283</v>
      </c>
      <c r="C83">
        <v>23</v>
      </c>
      <c r="D83">
        <v>0</v>
      </c>
      <c r="E83" s="2">
        <v>46004</v>
      </c>
      <c r="F83" s="1">
        <v>45826</v>
      </c>
      <c r="G83" t="s">
        <v>284</v>
      </c>
      <c r="H83" t="s">
        <v>19</v>
      </c>
      <c r="I83" t="s">
        <v>285</v>
      </c>
      <c r="J83" t="s">
        <v>21</v>
      </c>
    </row>
    <row r="84" spans="1:10" x14ac:dyDescent="0.3">
      <c r="A84">
        <v>1097</v>
      </c>
      <c r="B84" t="s">
        <v>286</v>
      </c>
      <c r="C84">
        <v>50</v>
      </c>
      <c r="D84" t="s">
        <v>23</v>
      </c>
      <c r="E84" s="1">
        <v>45984</v>
      </c>
      <c r="F84" s="1">
        <v>45924</v>
      </c>
      <c r="G84" t="s">
        <v>287</v>
      </c>
      <c r="H84" t="s">
        <v>19</v>
      </c>
      <c r="I84" t="s">
        <v>288</v>
      </c>
      <c r="J84">
        <v>1</v>
      </c>
    </row>
    <row r="85" spans="1:10" x14ac:dyDescent="0.3">
      <c r="A85">
        <v>1047</v>
      </c>
      <c r="B85" t="s">
        <v>289</v>
      </c>
      <c r="C85">
        <v>40</v>
      </c>
      <c r="D85" t="s">
        <v>23</v>
      </c>
      <c r="E85" s="1">
        <v>46078</v>
      </c>
      <c r="F85" s="1">
        <v>45663</v>
      </c>
      <c r="G85" t="s">
        <v>290</v>
      </c>
      <c r="H85" t="s">
        <v>19</v>
      </c>
      <c r="I85" t="s">
        <v>291</v>
      </c>
      <c r="J85" t="s">
        <v>39</v>
      </c>
    </row>
    <row r="86" spans="1:10" x14ac:dyDescent="0.3">
      <c r="A86">
        <v>1093</v>
      </c>
      <c r="B86" t="s">
        <v>292</v>
      </c>
      <c r="C86">
        <v>55</v>
      </c>
      <c r="E86" s="1">
        <v>45942</v>
      </c>
      <c r="F86" t="s">
        <v>265</v>
      </c>
      <c r="G86" t="s">
        <v>293</v>
      </c>
      <c r="H86" t="s">
        <v>25</v>
      </c>
      <c r="I86" t="s">
        <v>294</v>
      </c>
      <c r="J86" t="s">
        <v>31</v>
      </c>
    </row>
    <row r="87" spans="1:10" x14ac:dyDescent="0.3">
      <c r="A87">
        <v>1044</v>
      </c>
      <c r="B87" t="s">
        <v>295</v>
      </c>
      <c r="C87">
        <v>57</v>
      </c>
      <c r="D87">
        <v>0</v>
      </c>
      <c r="E87" s="1">
        <v>45905</v>
      </c>
      <c r="F87" s="2">
        <v>45644</v>
      </c>
      <c r="G87" t="s">
        <v>296</v>
      </c>
      <c r="H87" t="s">
        <v>19</v>
      </c>
      <c r="I87" t="s">
        <v>297</v>
      </c>
      <c r="J87" t="s">
        <v>65</v>
      </c>
    </row>
    <row r="88" spans="1:10" x14ac:dyDescent="0.3">
      <c r="A88">
        <v>1050</v>
      </c>
      <c r="B88" t="s">
        <v>298</v>
      </c>
      <c r="C88">
        <v>60</v>
      </c>
      <c r="D88">
        <v>1</v>
      </c>
      <c r="E88" s="2">
        <v>45933</v>
      </c>
      <c r="F88" s="1">
        <v>45895</v>
      </c>
      <c r="G88" t="s">
        <v>299</v>
      </c>
      <c r="H88" t="s">
        <v>29</v>
      </c>
      <c r="I88" t="s">
        <v>300</v>
      </c>
      <c r="J88" t="s">
        <v>21</v>
      </c>
    </row>
    <row r="89" spans="1:10" x14ac:dyDescent="0.3">
      <c r="A89">
        <v>1100</v>
      </c>
      <c r="B89" t="s">
        <v>301</v>
      </c>
      <c r="C89">
        <v>58</v>
      </c>
      <c r="D89" t="s">
        <v>23</v>
      </c>
      <c r="E89" s="1">
        <v>45723</v>
      </c>
      <c r="F89" s="2">
        <v>45529</v>
      </c>
      <c r="G89" t="s">
        <v>302</v>
      </c>
      <c r="H89" t="s">
        <v>25</v>
      </c>
      <c r="I89" t="s">
        <v>303</v>
      </c>
      <c r="J89" t="s">
        <v>31</v>
      </c>
    </row>
    <row r="90" spans="1:10" x14ac:dyDescent="0.3">
      <c r="A90">
        <v>1095</v>
      </c>
      <c r="B90" t="s">
        <v>304</v>
      </c>
      <c r="C90">
        <v>61</v>
      </c>
      <c r="D90" t="s">
        <v>76</v>
      </c>
      <c r="E90" s="1">
        <v>45949</v>
      </c>
      <c r="F90" t="s">
        <v>305</v>
      </c>
      <c r="G90" t="s">
        <v>306</v>
      </c>
      <c r="H90" t="s">
        <v>25</v>
      </c>
      <c r="I90" t="s">
        <v>307</v>
      </c>
      <c r="J90">
        <v>0</v>
      </c>
    </row>
    <row r="91" spans="1:10" x14ac:dyDescent="0.3">
      <c r="A91">
        <v>1088</v>
      </c>
      <c r="B91" t="s">
        <v>308</v>
      </c>
      <c r="C91">
        <v>34</v>
      </c>
      <c r="D91" t="s">
        <v>41</v>
      </c>
      <c r="E91" s="2">
        <v>45942</v>
      </c>
      <c r="F91" s="2">
        <v>45672</v>
      </c>
      <c r="G91" t="s">
        <v>309</v>
      </c>
      <c r="H91" t="s">
        <v>13</v>
      </c>
      <c r="I91" t="s">
        <v>310</v>
      </c>
      <c r="J91" t="s">
        <v>39</v>
      </c>
    </row>
    <row r="92" spans="1:10" x14ac:dyDescent="0.3">
      <c r="A92">
        <v>1027</v>
      </c>
      <c r="B92" t="s">
        <v>311</v>
      </c>
      <c r="C92">
        <v>35</v>
      </c>
      <c r="D92" t="s">
        <v>23</v>
      </c>
      <c r="E92" s="2">
        <v>45923</v>
      </c>
      <c r="F92" s="2">
        <v>45488</v>
      </c>
      <c r="G92" t="s">
        <v>312</v>
      </c>
      <c r="H92" t="s">
        <v>19</v>
      </c>
      <c r="I92" t="s">
        <v>313</v>
      </c>
      <c r="J92">
        <v>1</v>
      </c>
    </row>
    <row r="93" spans="1:10" x14ac:dyDescent="0.3">
      <c r="A93">
        <v>1040</v>
      </c>
      <c r="B93" t="s">
        <v>314</v>
      </c>
      <c r="C93">
        <v>62</v>
      </c>
      <c r="E93" s="2">
        <v>46020</v>
      </c>
      <c r="F93" s="2">
        <v>45425</v>
      </c>
      <c r="G93" t="s">
        <v>315</v>
      </c>
      <c r="H93" t="s">
        <v>13</v>
      </c>
      <c r="I93" t="s">
        <v>316</v>
      </c>
      <c r="J93" t="s">
        <v>39</v>
      </c>
    </row>
    <row r="94" spans="1:10" x14ac:dyDescent="0.3">
      <c r="A94">
        <v>1099</v>
      </c>
      <c r="B94" t="s">
        <v>317</v>
      </c>
      <c r="C94">
        <v>31</v>
      </c>
      <c r="D94" t="s">
        <v>56</v>
      </c>
      <c r="E94" s="1">
        <v>45968</v>
      </c>
      <c r="F94" s="2">
        <v>45735</v>
      </c>
      <c r="G94" t="s">
        <v>318</v>
      </c>
      <c r="H94" t="s">
        <v>19</v>
      </c>
      <c r="I94" t="s">
        <v>319</v>
      </c>
      <c r="J94" t="s">
        <v>39</v>
      </c>
    </row>
    <row r="95" spans="1:10" x14ac:dyDescent="0.3">
      <c r="A95">
        <v>1070</v>
      </c>
      <c r="B95" t="s">
        <v>320</v>
      </c>
      <c r="C95">
        <v>28</v>
      </c>
      <c r="D95" t="s">
        <v>41</v>
      </c>
      <c r="E95" s="2">
        <v>45938</v>
      </c>
      <c r="F95" s="2">
        <v>45787</v>
      </c>
      <c r="G95" t="s">
        <v>321</v>
      </c>
      <c r="H95" t="s">
        <v>25</v>
      </c>
      <c r="I95" t="s">
        <v>322</v>
      </c>
      <c r="J95" t="s">
        <v>31</v>
      </c>
    </row>
    <row r="96" spans="1:10" x14ac:dyDescent="0.3">
      <c r="A96">
        <v>1058</v>
      </c>
      <c r="B96" t="s">
        <v>323</v>
      </c>
      <c r="C96">
        <v>18</v>
      </c>
      <c r="D96" t="s">
        <v>41</v>
      </c>
      <c r="E96" s="2">
        <v>46057</v>
      </c>
      <c r="F96" s="1">
        <v>45577</v>
      </c>
      <c r="G96" t="s">
        <v>324</v>
      </c>
      <c r="H96" t="s">
        <v>29</v>
      </c>
      <c r="I96" t="s">
        <v>325</v>
      </c>
      <c r="J96" t="s">
        <v>31</v>
      </c>
    </row>
    <row r="97" spans="1:10" x14ac:dyDescent="0.3">
      <c r="A97">
        <v>1040</v>
      </c>
      <c r="B97" t="s">
        <v>326</v>
      </c>
      <c r="C97">
        <v>34</v>
      </c>
      <c r="D97">
        <v>0</v>
      </c>
      <c r="E97" s="2">
        <v>45961</v>
      </c>
      <c r="F97" s="2">
        <v>45735</v>
      </c>
      <c r="G97" t="s">
        <v>327</v>
      </c>
      <c r="H97" t="s">
        <v>25</v>
      </c>
      <c r="I97" t="s">
        <v>328</v>
      </c>
      <c r="J97">
        <v>0</v>
      </c>
    </row>
    <row r="98" spans="1:10" x14ac:dyDescent="0.3">
      <c r="A98">
        <v>1018</v>
      </c>
      <c r="B98" t="s">
        <v>329</v>
      </c>
      <c r="C98">
        <v>34</v>
      </c>
      <c r="D98" t="s">
        <v>41</v>
      </c>
      <c r="E98" s="2">
        <v>46016</v>
      </c>
      <c r="F98" s="1">
        <v>45635</v>
      </c>
      <c r="G98" t="s">
        <v>330</v>
      </c>
      <c r="H98" t="s">
        <v>13</v>
      </c>
      <c r="I98" t="s">
        <v>331</v>
      </c>
      <c r="J98" t="s">
        <v>31</v>
      </c>
    </row>
    <row r="99" spans="1:10" x14ac:dyDescent="0.3">
      <c r="A99">
        <v>1052</v>
      </c>
      <c r="B99" t="s">
        <v>332</v>
      </c>
      <c r="C99">
        <v>60</v>
      </c>
      <c r="D99" t="s">
        <v>11</v>
      </c>
      <c r="E99" s="1">
        <v>45849</v>
      </c>
      <c r="F99" s="2">
        <v>45532</v>
      </c>
      <c r="G99" t="s">
        <v>333</v>
      </c>
      <c r="H99" t="s">
        <v>29</v>
      </c>
      <c r="J99" t="s">
        <v>21</v>
      </c>
    </row>
    <row r="100" spans="1:10" x14ac:dyDescent="0.3">
      <c r="A100">
        <v>1031</v>
      </c>
      <c r="B100" t="s">
        <v>334</v>
      </c>
      <c r="C100">
        <v>65</v>
      </c>
      <c r="D100" t="s">
        <v>41</v>
      </c>
      <c r="E100" s="2">
        <v>45816</v>
      </c>
      <c r="F100" s="1">
        <v>45671</v>
      </c>
      <c r="G100" t="s">
        <v>335</v>
      </c>
      <c r="H100" t="s">
        <v>29</v>
      </c>
      <c r="I100" t="s">
        <v>336</v>
      </c>
      <c r="J100">
        <v>0</v>
      </c>
    </row>
    <row r="101" spans="1:10" x14ac:dyDescent="0.3">
      <c r="A101">
        <v>1028</v>
      </c>
      <c r="B101" t="s">
        <v>337</v>
      </c>
      <c r="C101">
        <v>21</v>
      </c>
      <c r="D101" t="s">
        <v>11</v>
      </c>
      <c r="E101" s="1">
        <v>45849</v>
      </c>
      <c r="F101" s="2">
        <v>45865</v>
      </c>
      <c r="G101" t="s">
        <v>338</v>
      </c>
      <c r="H101" t="s">
        <v>25</v>
      </c>
      <c r="I101" t="s">
        <v>339</v>
      </c>
      <c r="J101" t="s">
        <v>65</v>
      </c>
    </row>
    <row r="102" spans="1:10" x14ac:dyDescent="0.3">
      <c r="A102">
        <v>1089</v>
      </c>
      <c r="B102" t="s">
        <v>340</v>
      </c>
      <c r="C102">
        <v>56</v>
      </c>
      <c r="D102" t="s">
        <v>76</v>
      </c>
      <c r="E102" t="s">
        <v>341</v>
      </c>
      <c r="F102" s="2">
        <v>45634</v>
      </c>
      <c r="G102" t="s">
        <v>342</v>
      </c>
      <c r="H102" t="s">
        <v>19</v>
      </c>
      <c r="I102" t="s">
        <v>343</v>
      </c>
      <c r="J102">
        <v>1</v>
      </c>
    </row>
    <row r="103" spans="1:10" x14ac:dyDescent="0.3">
      <c r="A103">
        <v>1092</v>
      </c>
      <c r="B103" t="s">
        <v>344</v>
      </c>
      <c r="C103">
        <v>40</v>
      </c>
      <c r="D103" t="s">
        <v>11</v>
      </c>
      <c r="E103" s="2">
        <v>46063</v>
      </c>
      <c r="F103" s="2">
        <v>46009</v>
      </c>
      <c r="G103" t="s">
        <v>345</v>
      </c>
      <c r="H103" t="s">
        <v>25</v>
      </c>
      <c r="I103" t="s">
        <v>346</v>
      </c>
      <c r="J103" t="s">
        <v>39</v>
      </c>
    </row>
    <row r="104" spans="1:10" x14ac:dyDescent="0.3">
      <c r="A104">
        <v>1088</v>
      </c>
      <c r="B104" t="s">
        <v>347</v>
      </c>
      <c r="C104">
        <v>60</v>
      </c>
      <c r="E104" s="2">
        <v>46100</v>
      </c>
      <c r="F104" s="1">
        <v>45583</v>
      </c>
      <c r="G104" t="s">
        <v>348</v>
      </c>
      <c r="H104" t="s">
        <v>29</v>
      </c>
      <c r="I104" t="s">
        <v>349</v>
      </c>
      <c r="J104" t="s">
        <v>39</v>
      </c>
    </row>
    <row r="105" spans="1:10" x14ac:dyDescent="0.3">
      <c r="A105">
        <v>1058</v>
      </c>
      <c r="B105" t="s">
        <v>350</v>
      </c>
      <c r="C105">
        <v>24</v>
      </c>
      <c r="D105" t="s">
        <v>11</v>
      </c>
      <c r="E105" s="2">
        <v>46069</v>
      </c>
      <c r="F105" s="2">
        <v>45895</v>
      </c>
      <c r="G105" t="s">
        <v>351</v>
      </c>
      <c r="H105" t="s">
        <v>29</v>
      </c>
      <c r="I105" t="s">
        <v>352</v>
      </c>
      <c r="J105">
        <v>0</v>
      </c>
    </row>
    <row r="106" spans="1:10" x14ac:dyDescent="0.3">
      <c r="A106">
        <v>1078</v>
      </c>
      <c r="B106" t="s">
        <v>353</v>
      </c>
      <c r="C106">
        <v>69</v>
      </c>
      <c r="D106">
        <v>1</v>
      </c>
      <c r="E106" s="2">
        <v>45988</v>
      </c>
      <c r="F106" t="s">
        <v>354</v>
      </c>
      <c r="G106" t="s">
        <v>355</v>
      </c>
      <c r="H106" t="s">
        <v>19</v>
      </c>
      <c r="I106" t="s">
        <v>356</v>
      </c>
      <c r="J106" t="s">
        <v>31</v>
      </c>
    </row>
    <row r="107" spans="1:10" x14ac:dyDescent="0.3">
      <c r="A107">
        <v>1027</v>
      </c>
      <c r="B107" t="s">
        <v>357</v>
      </c>
      <c r="C107">
        <v>32</v>
      </c>
      <c r="D107" t="s">
        <v>16</v>
      </c>
      <c r="E107" s="1">
        <v>46083</v>
      </c>
      <c r="F107" s="2">
        <v>46008</v>
      </c>
      <c r="G107" t="s">
        <v>358</v>
      </c>
      <c r="H107" t="s">
        <v>13</v>
      </c>
      <c r="I107" t="s">
        <v>359</v>
      </c>
      <c r="J107">
        <v>1</v>
      </c>
    </row>
    <row r="108" spans="1:10" x14ac:dyDescent="0.3">
      <c r="A108">
        <v>1062</v>
      </c>
      <c r="B108" t="s">
        <v>360</v>
      </c>
      <c r="C108">
        <v>60</v>
      </c>
      <c r="D108" t="s">
        <v>56</v>
      </c>
      <c r="E108" s="2">
        <v>46049</v>
      </c>
      <c r="F108" t="s">
        <v>361</v>
      </c>
      <c r="G108" t="s">
        <v>362</v>
      </c>
      <c r="H108" t="s">
        <v>13</v>
      </c>
      <c r="I108" t="s">
        <v>363</v>
      </c>
      <c r="J108" t="s">
        <v>31</v>
      </c>
    </row>
    <row r="109" spans="1:10" x14ac:dyDescent="0.3">
      <c r="A109">
        <v>1015</v>
      </c>
      <c r="B109" t="s">
        <v>364</v>
      </c>
      <c r="C109">
        <v>68</v>
      </c>
      <c r="D109" t="s">
        <v>16</v>
      </c>
      <c r="E109" s="1">
        <v>45850</v>
      </c>
      <c r="F109" t="s">
        <v>365</v>
      </c>
      <c r="G109" t="s">
        <v>366</v>
      </c>
      <c r="H109" t="s">
        <v>19</v>
      </c>
      <c r="I109" t="s">
        <v>367</v>
      </c>
      <c r="J109" t="s">
        <v>21</v>
      </c>
    </row>
    <row r="110" spans="1:10" x14ac:dyDescent="0.3">
      <c r="A110">
        <v>1018</v>
      </c>
      <c r="B110" t="s">
        <v>368</v>
      </c>
      <c r="C110">
        <v>53</v>
      </c>
      <c r="E110" s="2">
        <v>45941</v>
      </c>
      <c r="F110" s="2">
        <v>45381</v>
      </c>
      <c r="G110" t="s">
        <v>369</v>
      </c>
      <c r="H110" t="s">
        <v>25</v>
      </c>
      <c r="I110" t="s">
        <v>370</v>
      </c>
      <c r="J110" t="s">
        <v>39</v>
      </c>
    </row>
    <row r="111" spans="1:10" x14ac:dyDescent="0.3">
      <c r="A111">
        <v>1061</v>
      </c>
      <c r="B111" t="s">
        <v>371</v>
      </c>
      <c r="C111">
        <v>18</v>
      </c>
      <c r="D111" t="s">
        <v>56</v>
      </c>
      <c r="E111" s="1">
        <v>46103</v>
      </c>
      <c r="F111" s="2">
        <v>45570</v>
      </c>
      <c r="G111" t="s">
        <v>372</v>
      </c>
      <c r="H111" t="s">
        <v>25</v>
      </c>
      <c r="I111" t="s">
        <v>373</v>
      </c>
      <c r="J111" t="s">
        <v>31</v>
      </c>
    </row>
    <row r="112" spans="1:10" x14ac:dyDescent="0.3">
      <c r="A112">
        <v>1013</v>
      </c>
      <c r="B112" t="s">
        <v>374</v>
      </c>
      <c r="C112">
        <v>60</v>
      </c>
      <c r="D112">
        <v>0</v>
      </c>
      <c r="E112" s="2">
        <v>45759</v>
      </c>
      <c r="F112" t="s">
        <v>375</v>
      </c>
      <c r="G112" t="s">
        <v>376</v>
      </c>
      <c r="H112" t="s">
        <v>25</v>
      </c>
      <c r="I112" t="s">
        <v>377</v>
      </c>
      <c r="J112" t="s">
        <v>39</v>
      </c>
    </row>
    <row r="113" spans="1:10" x14ac:dyDescent="0.3">
      <c r="A113">
        <v>1087</v>
      </c>
      <c r="B113" t="s">
        <v>378</v>
      </c>
      <c r="C113">
        <v>72</v>
      </c>
      <c r="D113" t="s">
        <v>41</v>
      </c>
      <c r="E113" t="s">
        <v>379</v>
      </c>
      <c r="F113" t="s">
        <v>380</v>
      </c>
      <c r="G113" t="s">
        <v>381</v>
      </c>
      <c r="H113" t="s">
        <v>29</v>
      </c>
      <c r="I113" t="s">
        <v>382</v>
      </c>
      <c r="J113">
        <v>1</v>
      </c>
    </row>
    <row r="114" spans="1:10" x14ac:dyDescent="0.3">
      <c r="A114">
        <v>1090</v>
      </c>
      <c r="B114" t="s">
        <v>383</v>
      </c>
      <c r="C114">
        <v>63</v>
      </c>
      <c r="D114" t="s">
        <v>16</v>
      </c>
      <c r="E114" t="s">
        <v>384</v>
      </c>
      <c r="F114" s="2">
        <v>46013</v>
      </c>
      <c r="G114" t="s">
        <v>385</v>
      </c>
      <c r="H114" t="s">
        <v>25</v>
      </c>
      <c r="I114" t="s">
        <v>386</v>
      </c>
      <c r="J114" t="s">
        <v>21</v>
      </c>
    </row>
    <row r="115" spans="1:10" x14ac:dyDescent="0.3">
      <c r="A115">
        <v>1086</v>
      </c>
      <c r="B115" t="s">
        <v>387</v>
      </c>
      <c r="C115">
        <v>80</v>
      </c>
      <c r="D115" t="s">
        <v>41</v>
      </c>
      <c r="E115" s="1">
        <v>45669</v>
      </c>
      <c r="F115" s="2">
        <v>45593</v>
      </c>
      <c r="G115" t="s">
        <v>388</v>
      </c>
      <c r="H115" t="s">
        <v>19</v>
      </c>
      <c r="I115" t="s">
        <v>389</v>
      </c>
      <c r="J115" t="s">
        <v>39</v>
      </c>
    </row>
    <row r="116" spans="1:10" x14ac:dyDescent="0.3">
      <c r="A116">
        <v>1047</v>
      </c>
      <c r="B116" t="s">
        <v>390</v>
      </c>
      <c r="C116">
        <v>39</v>
      </c>
      <c r="D116" t="s">
        <v>23</v>
      </c>
      <c r="E116" s="1">
        <v>45983</v>
      </c>
      <c r="F116" s="2">
        <v>45610</v>
      </c>
      <c r="G116" t="s">
        <v>391</v>
      </c>
      <c r="H116" t="s">
        <v>25</v>
      </c>
      <c r="I116" t="s">
        <v>392</v>
      </c>
      <c r="J116">
        <v>0</v>
      </c>
    </row>
    <row r="117" spans="1:10" x14ac:dyDescent="0.3">
      <c r="A117">
        <v>1014</v>
      </c>
      <c r="B117" t="s">
        <v>393</v>
      </c>
      <c r="C117">
        <v>81</v>
      </c>
      <c r="D117" t="s">
        <v>11</v>
      </c>
      <c r="E117" s="1">
        <v>45809</v>
      </c>
      <c r="F117" s="1">
        <v>45523</v>
      </c>
      <c r="G117" t="s">
        <v>394</v>
      </c>
      <c r="H117" t="s">
        <v>13</v>
      </c>
      <c r="I117" t="s">
        <v>395</v>
      </c>
      <c r="J117" t="s">
        <v>65</v>
      </c>
    </row>
    <row r="118" spans="1:10" x14ac:dyDescent="0.3">
      <c r="A118">
        <v>1047</v>
      </c>
      <c r="B118" t="s">
        <v>396</v>
      </c>
      <c r="C118">
        <v>38</v>
      </c>
      <c r="D118" t="s">
        <v>23</v>
      </c>
      <c r="E118" s="2">
        <v>46006</v>
      </c>
      <c r="F118" s="1">
        <v>45651</v>
      </c>
      <c r="G118" t="s">
        <v>397</v>
      </c>
      <c r="H118" t="s">
        <v>13</v>
      </c>
      <c r="I118" t="s">
        <v>398</v>
      </c>
      <c r="J118" t="s">
        <v>21</v>
      </c>
    </row>
    <row r="119" spans="1:10" x14ac:dyDescent="0.3">
      <c r="A119">
        <v>1073</v>
      </c>
      <c r="B119" t="s">
        <v>399</v>
      </c>
      <c r="C119">
        <v>38</v>
      </c>
      <c r="D119">
        <v>0</v>
      </c>
      <c r="E119" t="s">
        <v>400</v>
      </c>
      <c r="F119" s="2">
        <v>45849</v>
      </c>
      <c r="G119" t="s">
        <v>401</v>
      </c>
      <c r="H119" t="s">
        <v>19</v>
      </c>
      <c r="I119" t="s">
        <v>402</v>
      </c>
      <c r="J119" t="s">
        <v>65</v>
      </c>
    </row>
    <row r="120" spans="1:10" x14ac:dyDescent="0.3">
      <c r="A120">
        <v>1093</v>
      </c>
      <c r="B120" t="s">
        <v>403</v>
      </c>
      <c r="C120">
        <v>79</v>
      </c>
      <c r="D120" t="s">
        <v>11</v>
      </c>
      <c r="E120" t="s">
        <v>404</v>
      </c>
      <c r="F120" s="2">
        <v>45470</v>
      </c>
      <c r="G120" t="s">
        <v>405</v>
      </c>
      <c r="H120" t="s">
        <v>19</v>
      </c>
      <c r="I120" t="s">
        <v>406</v>
      </c>
      <c r="J120" t="s">
        <v>21</v>
      </c>
    </row>
    <row r="121" spans="1:10" x14ac:dyDescent="0.3">
      <c r="A121">
        <v>1027</v>
      </c>
      <c r="B121" t="s">
        <v>407</v>
      </c>
      <c r="C121">
        <v>54</v>
      </c>
      <c r="D121" t="s">
        <v>41</v>
      </c>
      <c r="E121" t="s">
        <v>408</v>
      </c>
      <c r="F121" s="2">
        <v>45804</v>
      </c>
      <c r="G121" t="s">
        <v>409</v>
      </c>
      <c r="H121" t="s">
        <v>19</v>
      </c>
      <c r="I121" t="s">
        <v>410</v>
      </c>
      <c r="J121">
        <v>0</v>
      </c>
    </row>
    <row r="122" spans="1:10" x14ac:dyDescent="0.3">
      <c r="A122">
        <v>1037</v>
      </c>
      <c r="B122" t="s">
        <v>411</v>
      </c>
      <c r="C122">
        <v>22</v>
      </c>
      <c r="D122" t="s">
        <v>41</v>
      </c>
      <c r="E122" s="2">
        <v>46081</v>
      </c>
      <c r="F122" s="2">
        <v>45738</v>
      </c>
      <c r="G122" t="s">
        <v>412</v>
      </c>
      <c r="H122" t="s">
        <v>25</v>
      </c>
      <c r="I122" t="s">
        <v>413</v>
      </c>
      <c r="J122">
        <v>1</v>
      </c>
    </row>
    <row r="123" spans="1:10" x14ac:dyDescent="0.3">
      <c r="A123">
        <v>1021</v>
      </c>
      <c r="B123" t="s">
        <v>414</v>
      </c>
      <c r="C123">
        <v>27</v>
      </c>
      <c r="D123">
        <v>0</v>
      </c>
      <c r="E123" s="2">
        <v>45781</v>
      </c>
      <c r="F123" s="2">
        <v>45484</v>
      </c>
      <c r="G123" t="s">
        <v>415</v>
      </c>
      <c r="H123" t="s">
        <v>29</v>
      </c>
      <c r="I123" t="s">
        <v>416</v>
      </c>
      <c r="J123">
        <v>1</v>
      </c>
    </row>
    <row r="124" spans="1:10" x14ac:dyDescent="0.3">
      <c r="A124">
        <v>1007</v>
      </c>
      <c r="B124" t="s">
        <v>417</v>
      </c>
      <c r="C124">
        <v>20</v>
      </c>
      <c r="D124" t="s">
        <v>56</v>
      </c>
      <c r="E124" s="2">
        <v>45977</v>
      </c>
      <c r="F124" t="s">
        <v>418</v>
      </c>
      <c r="G124" t="s">
        <v>419</v>
      </c>
      <c r="H124" t="s">
        <v>29</v>
      </c>
      <c r="I124" t="s">
        <v>420</v>
      </c>
      <c r="J124">
        <v>0</v>
      </c>
    </row>
    <row r="125" spans="1:10" x14ac:dyDescent="0.3">
      <c r="A125">
        <v>1043</v>
      </c>
      <c r="B125" t="s">
        <v>421</v>
      </c>
      <c r="C125">
        <v>31</v>
      </c>
      <c r="D125">
        <v>1</v>
      </c>
      <c r="E125" s="1">
        <v>45723</v>
      </c>
      <c r="F125" t="s">
        <v>422</v>
      </c>
      <c r="G125" t="s">
        <v>423</v>
      </c>
      <c r="H125" t="s">
        <v>19</v>
      </c>
      <c r="I125" t="s">
        <v>424</v>
      </c>
      <c r="J125" t="s">
        <v>65</v>
      </c>
    </row>
    <row r="126" spans="1:10" x14ac:dyDescent="0.3">
      <c r="A126">
        <v>1081</v>
      </c>
      <c r="B126" t="s">
        <v>425</v>
      </c>
      <c r="C126">
        <v>86</v>
      </c>
      <c r="D126">
        <v>1</v>
      </c>
      <c r="E126" t="s">
        <v>426</v>
      </c>
      <c r="F126" s="2">
        <v>45769</v>
      </c>
      <c r="G126" t="s">
        <v>427</v>
      </c>
      <c r="H126" t="s">
        <v>29</v>
      </c>
      <c r="I126" t="s">
        <v>428</v>
      </c>
      <c r="J126" t="s">
        <v>31</v>
      </c>
    </row>
    <row r="127" spans="1:10" x14ac:dyDescent="0.3">
      <c r="A127">
        <v>1053</v>
      </c>
      <c r="B127" t="s">
        <v>429</v>
      </c>
      <c r="C127">
        <v>81</v>
      </c>
      <c r="E127" s="2">
        <v>45770</v>
      </c>
      <c r="F127" s="1">
        <v>45656</v>
      </c>
      <c r="G127" t="s">
        <v>430</v>
      </c>
      <c r="H127" t="s">
        <v>29</v>
      </c>
      <c r="I127" t="s">
        <v>431</v>
      </c>
      <c r="J127" t="s">
        <v>65</v>
      </c>
    </row>
    <row r="128" spans="1:10" x14ac:dyDescent="0.3">
      <c r="A128">
        <v>1035</v>
      </c>
      <c r="B128" t="s">
        <v>432</v>
      </c>
      <c r="C128">
        <v>58</v>
      </c>
      <c r="D128" t="s">
        <v>23</v>
      </c>
      <c r="E128" s="1">
        <v>46045</v>
      </c>
      <c r="F128" s="2">
        <v>45396</v>
      </c>
      <c r="G128" t="s">
        <v>433</v>
      </c>
      <c r="H128" t="s">
        <v>13</v>
      </c>
      <c r="I128" t="s">
        <v>434</v>
      </c>
      <c r="J128" t="s">
        <v>21</v>
      </c>
    </row>
    <row r="129" spans="1:10" x14ac:dyDescent="0.3">
      <c r="A129">
        <v>1036</v>
      </c>
      <c r="B129" t="s">
        <v>435</v>
      </c>
      <c r="C129">
        <v>38</v>
      </c>
      <c r="D129">
        <v>1</v>
      </c>
      <c r="E129" s="1">
        <v>45742</v>
      </c>
      <c r="F129" s="2">
        <v>45718</v>
      </c>
      <c r="G129" t="s">
        <v>436</v>
      </c>
      <c r="H129" t="s">
        <v>13</v>
      </c>
      <c r="I129" t="s">
        <v>437</v>
      </c>
      <c r="J129" t="s">
        <v>65</v>
      </c>
    </row>
    <row r="130" spans="1:10" x14ac:dyDescent="0.3">
      <c r="A130">
        <v>1052</v>
      </c>
      <c r="B130" t="s">
        <v>438</v>
      </c>
      <c r="C130">
        <v>22</v>
      </c>
      <c r="D130" t="s">
        <v>41</v>
      </c>
      <c r="E130" t="s">
        <v>439</v>
      </c>
      <c r="F130" s="1">
        <v>45663</v>
      </c>
      <c r="G130" t="s">
        <v>440</v>
      </c>
      <c r="H130" t="s">
        <v>19</v>
      </c>
      <c r="I130" t="s">
        <v>441</v>
      </c>
      <c r="J130">
        <v>0</v>
      </c>
    </row>
    <row r="131" spans="1:10" x14ac:dyDescent="0.3">
      <c r="A131">
        <v>1058</v>
      </c>
      <c r="B131" t="s">
        <v>442</v>
      </c>
      <c r="C131">
        <v>83</v>
      </c>
      <c r="D131" t="s">
        <v>11</v>
      </c>
      <c r="E131" t="s">
        <v>443</v>
      </c>
      <c r="F131" s="1">
        <v>45768</v>
      </c>
      <c r="G131" t="s">
        <v>444</v>
      </c>
      <c r="H131" t="s">
        <v>25</v>
      </c>
      <c r="I131" t="s">
        <v>445</v>
      </c>
      <c r="J131" t="s">
        <v>39</v>
      </c>
    </row>
    <row r="132" spans="1:10" x14ac:dyDescent="0.3">
      <c r="A132">
        <v>1074</v>
      </c>
      <c r="B132" t="s">
        <v>446</v>
      </c>
      <c r="C132">
        <v>19</v>
      </c>
      <c r="D132" t="s">
        <v>16</v>
      </c>
      <c r="E132" s="2">
        <v>45771</v>
      </c>
      <c r="F132" s="2">
        <v>45573</v>
      </c>
      <c r="G132" t="s">
        <v>447</v>
      </c>
      <c r="H132" t="s">
        <v>25</v>
      </c>
      <c r="I132" t="s">
        <v>448</v>
      </c>
      <c r="J132">
        <v>0</v>
      </c>
    </row>
    <row r="133" spans="1:10" x14ac:dyDescent="0.3">
      <c r="A133">
        <v>1018</v>
      </c>
      <c r="B133" t="s">
        <v>449</v>
      </c>
      <c r="C133">
        <v>54</v>
      </c>
      <c r="D133" t="s">
        <v>16</v>
      </c>
      <c r="E133" s="2">
        <v>46106</v>
      </c>
      <c r="F133" s="1">
        <v>45421</v>
      </c>
      <c r="G133" t="s">
        <v>450</v>
      </c>
      <c r="H133" t="s">
        <v>29</v>
      </c>
      <c r="I133" t="s">
        <v>451</v>
      </c>
      <c r="J133">
        <v>1</v>
      </c>
    </row>
    <row r="134" spans="1:10" x14ac:dyDescent="0.3">
      <c r="A134">
        <v>1033</v>
      </c>
      <c r="B134" t="s">
        <v>452</v>
      </c>
      <c r="C134">
        <v>68</v>
      </c>
      <c r="D134" t="s">
        <v>56</v>
      </c>
      <c r="E134" s="2">
        <v>45958</v>
      </c>
      <c r="F134" s="1">
        <v>45581</v>
      </c>
      <c r="G134" t="s">
        <v>246</v>
      </c>
      <c r="H134" t="s">
        <v>29</v>
      </c>
      <c r="I134" t="s">
        <v>453</v>
      </c>
      <c r="J134" t="s">
        <v>39</v>
      </c>
    </row>
    <row r="135" spans="1:10" x14ac:dyDescent="0.3">
      <c r="A135">
        <v>1045</v>
      </c>
      <c r="B135" t="s">
        <v>454</v>
      </c>
      <c r="C135">
        <v>55</v>
      </c>
      <c r="D135" t="s">
        <v>41</v>
      </c>
      <c r="E135" s="2">
        <v>46024</v>
      </c>
      <c r="F135" s="1">
        <v>45600</v>
      </c>
      <c r="G135" t="s">
        <v>455</v>
      </c>
      <c r="H135" t="s">
        <v>29</v>
      </c>
      <c r="I135" t="s">
        <v>456</v>
      </c>
      <c r="J135" t="s">
        <v>39</v>
      </c>
    </row>
    <row r="136" spans="1:10" x14ac:dyDescent="0.3">
      <c r="A136">
        <v>1087</v>
      </c>
      <c r="B136" t="s">
        <v>457</v>
      </c>
      <c r="C136">
        <v>80</v>
      </c>
      <c r="D136">
        <v>1</v>
      </c>
      <c r="E136" s="1">
        <v>46029</v>
      </c>
      <c r="F136" s="1">
        <v>45438</v>
      </c>
      <c r="G136" t="s">
        <v>458</v>
      </c>
      <c r="H136" t="s">
        <v>25</v>
      </c>
      <c r="I136" t="s">
        <v>459</v>
      </c>
      <c r="J136" t="s">
        <v>31</v>
      </c>
    </row>
    <row r="137" spans="1:10" x14ac:dyDescent="0.3">
      <c r="A137">
        <v>1043</v>
      </c>
      <c r="B137" t="s">
        <v>460</v>
      </c>
      <c r="C137">
        <v>58</v>
      </c>
      <c r="D137">
        <v>1</v>
      </c>
      <c r="E137" s="2">
        <v>45967</v>
      </c>
      <c r="F137" s="1">
        <v>45792</v>
      </c>
      <c r="G137" t="s">
        <v>461</v>
      </c>
      <c r="H137" t="s">
        <v>13</v>
      </c>
      <c r="I137" t="s">
        <v>462</v>
      </c>
      <c r="J137">
        <v>0</v>
      </c>
    </row>
    <row r="138" spans="1:10" x14ac:dyDescent="0.3">
      <c r="A138">
        <v>1020</v>
      </c>
      <c r="B138" t="s">
        <v>463</v>
      </c>
      <c r="C138">
        <v>31</v>
      </c>
      <c r="D138">
        <v>1</v>
      </c>
      <c r="E138" t="s">
        <v>464</v>
      </c>
      <c r="F138" s="1">
        <v>45600</v>
      </c>
      <c r="G138" t="s">
        <v>465</v>
      </c>
      <c r="H138" t="s">
        <v>25</v>
      </c>
      <c r="I138" t="s">
        <v>466</v>
      </c>
      <c r="J138" t="s">
        <v>21</v>
      </c>
    </row>
    <row r="139" spans="1:10" x14ac:dyDescent="0.3">
      <c r="A139">
        <v>1089</v>
      </c>
      <c r="B139" t="s">
        <v>467</v>
      </c>
      <c r="C139">
        <v>73</v>
      </c>
      <c r="D139" t="s">
        <v>16</v>
      </c>
      <c r="E139" s="1">
        <v>45662</v>
      </c>
      <c r="F139" s="2">
        <v>45498</v>
      </c>
      <c r="G139" t="s">
        <v>468</v>
      </c>
      <c r="H139" t="s">
        <v>13</v>
      </c>
      <c r="I139" t="s">
        <v>469</v>
      </c>
      <c r="J139" t="s">
        <v>65</v>
      </c>
    </row>
    <row r="140" spans="1:10" x14ac:dyDescent="0.3">
      <c r="A140">
        <v>1005</v>
      </c>
      <c r="B140" t="s">
        <v>470</v>
      </c>
      <c r="C140">
        <v>63</v>
      </c>
      <c r="D140">
        <v>1</v>
      </c>
      <c r="E140" s="2">
        <v>45921</v>
      </c>
      <c r="F140" s="1">
        <v>45423</v>
      </c>
      <c r="G140" t="s">
        <v>471</v>
      </c>
      <c r="H140" t="s">
        <v>13</v>
      </c>
      <c r="I140" t="s">
        <v>472</v>
      </c>
      <c r="J140" t="s">
        <v>21</v>
      </c>
    </row>
    <row r="141" spans="1:10" x14ac:dyDescent="0.3">
      <c r="A141">
        <v>1031</v>
      </c>
      <c r="B141" t="s">
        <v>473</v>
      </c>
      <c r="C141">
        <v>49</v>
      </c>
      <c r="D141" t="s">
        <v>11</v>
      </c>
      <c r="E141" s="1">
        <v>46024</v>
      </c>
      <c r="F141" s="2">
        <v>45990</v>
      </c>
      <c r="G141" t="s">
        <v>474</v>
      </c>
      <c r="H141" t="s">
        <v>25</v>
      </c>
      <c r="I141" t="s">
        <v>475</v>
      </c>
      <c r="J141" t="s">
        <v>65</v>
      </c>
    </row>
    <row r="142" spans="1:10" x14ac:dyDescent="0.3">
      <c r="A142">
        <v>1069</v>
      </c>
      <c r="B142" t="s">
        <v>476</v>
      </c>
      <c r="C142">
        <v>60</v>
      </c>
      <c r="D142">
        <v>1</v>
      </c>
      <c r="E142" s="2">
        <v>45903</v>
      </c>
      <c r="F142" s="1">
        <v>45665</v>
      </c>
      <c r="G142" t="s">
        <v>477</v>
      </c>
      <c r="H142" t="s">
        <v>29</v>
      </c>
      <c r="J142" t="s">
        <v>31</v>
      </c>
    </row>
    <row r="143" spans="1:10" x14ac:dyDescent="0.3">
      <c r="A143">
        <v>1093</v>
      </c>
      <c r="B143" t="s">
        <v>478</v>
      </c>
      <c r="C143">
        <v>77</v>
      </c>
      <c r="D143" t="s">
        <v>41</v>
      </c>
      <c r="E143" s="2">
        <v>46042</v>
      </c>
      <c r="F143" s="1">
        <v>45386</v>
      </c>
      <c r="G143" t="s">
        <v>479</v>
      </c>
      <c r="H143" t="s">
        <v>25</v>
      </c>
      <c r="I143" t="s">
        <v>480</v>
      </c>
      <c r="J143">
        <v>1</v>
      </c>
    </row>
    <row r="144" spans="1:10" x14ac:dyDescent="0.3">
      <c r="A144">
        <v>1073</v>
      </c>
      <c r="B144" t="s">
        <v>481</v>
      </c>
      <c r="C144">
        <v>29</v>
      </c>
      <c r="D144" t="s">
        <v>76</v>
      </c>
      <c r="E144" s="1">
        <v>45865</v>
      </c>
      <c r="F144" s="1">
        <v>45816</v>
      </c>
      <c r="G144" t="s">
        <v>482</v>
      </c>
      <c r="H144" t="s">
        <v>29</v>
      </c>
      <c r="I144" t="s">
        <v>483</v>
      </c>
      <c r="J144" t="s">
        <v>21</v>
      </c>
    </row>
    <row r="145" spans="1:10" x14ac:dyDescent="0.3">
      <c r="A145">
        <v>1040</v>
      </c>
      <c r="B145" t="s">
        <v>484</v>
      </c>
      <c r="C145">
        <v>52</v>
      </c>
      <c r="D145" t="s">
        <v>76</v>
      </c>
      <c r="E145" s="2">
        <v>45795</v>
      </c>
      <c r="F145" t="s">
        <v>485</v>
      </c>
      <c r="G145" t="s">
        <v>486</v>
      </c>
      <c r="H145" t="s">
        <v>13</v>
      </c>
      <c r="I145" t="s">
        <v>487</v>
      </c>
      <c r="J145" t="s">
        <v>65</v>
      </c>
    </row>
    <row r="146" spans="1:10" x14ac:dyDescent="0.3">
      <c r="A146">
        <v>1066</v>
      </c>
      <c r="B146" t="s">
        <v>488</v>
      </c>
      <c r="C146">
        <v>54</v>
      </c>
      <c r="D146" t="s">
        <v>76</v>
      </c>
      <c r="E146" s="2">
        <v>45881</v>
      </c>
      <c r="F146" s="2">
        <v>45863</v>
      </c>
      <c r="G146" t="s">
        <v>489</v>
      </c>
      <c r="H146" t="s">
        <v>29</v>
      </c>
      <c r="I146" t="s">
        <v>490</v>
      </c>
      <c r="J146">
        <v>1</v>
      </c>
    </row>
    <row r="147" spans="1:10" x14ac:dyDescent="0.3">
      <c r="A147">
        <v>1047</v>
      </c>
      <c r="B147" t="s">
        <v>491</v>
      </c>
      <c r="C147">
        <v>67</v>
      </c>
      <c r="D147">
        <v>0</v>
      </c>
      <c r="E147" s="2">
        <v>46063</v>
      </c>
      <c r="F147" t="s">
        <v>492</v>
      </c>
      <c r="G147" t="s">
        <v>493</v>
      </c>
      <c r="H147" t="s">
        <v>19</v>
      </c>
      <c r="J147" t="s">
        <v>65</v>
      </c>
    </row>
    <row r="148" spans="1:10" x14ac:dyDescent="0.3">
      <c r="A148">
        <v>1021</v>
      </c>
      <c r="B148" t="s">
        <v>494</v>
      </c>
      <c r="C148">
        <v>38</v>
      </c>
      <c r="D148" t="s">
        <v>41</v>
      </c>
      <c r="E148" s="2">
        <v>45962</v>
      </c>
      <c r="F148" s="2">
        <v>45437</v>
      </c>
      <c r="G148" t="s">
        <v>495</v>
      </c>
      <c r="H148" t="s">
        <v>25</v>
      </c>
      <c r="I148" t="s">
        <v>496</v>
      </c>
      <c r="J148" t="s">
        <v>39</v>
      </c>
    </row>
    <row r="149" spans="1:10" x14ac:dyDescent="0.3">
      <c r="A149">
        <v>1072</v>
      </c>
      <c r="B149" t="s">
        <v>497</v>
      </c>
      <c r="C149">
        <v>37</v>
      </c>
      <c r="D149" t="s">
        <v>56</v>
      </c>
      <c r="E149" s="2">
        <v>45883</v>
      </c>
      <c r="F149" s="2">
        <v>45880</v>
      </c>
      <c r="G149" t="s">
        <v>498</v>
      </c>
      <c r="H149" t="s">
        <v>13</v>
      </c>
      <c r="I149" t="s">
        <v>499</v>
      </c>
      <c r="J149">
        <v>0</v>
      </c>
    </row>
    <row r="150" spans="1:10" x14ac:dyDescent="0.3">
      <c r="A150">
        <v>1011</v>
      </c>
      <c r="B150" t="s">
        <v>500</v>
      </c>
      <c r="C150">
        <v>66</v>
      </c>
      <c r="D150" t="s">
        <v>76</v>
      </c>
      <c r="E150" s="2">
        <v>45776</v>
      </c>
      <c r="F150" s="2">
        <v>45754</v>
      </c>
      <c r="G150" t="s">
        <v>501</v>
      </c>
      <c r="H150" t="s">
        <v>29</v>
      </c>
      <c r="I150" t="s">
        <v>502</v>
      </c>
      <c r="J150">
        <v>1</v>
      </c>
    </row>
    <row r="151" spans="1:10" x14ac:dyDescent="0.3">
      <c r="A151">
        <v>1097</v>
      </c>
      <c r="B151" t="s">
        <v>503</v>
      </c>
      <c r="C151">
        <v>48</v>
      </c>
      <c r="D151">
        <v>0</v>
      </c>
      <c r="E151" s="1">
        <v>45914</v>
      </c>
      <c r="F151" s="1">
        <v>45624</v>
      </c>
      <c r="G151" t="s">
        <v>504</v>
      </c>
      <c r="H151" t="s">
        <v>13</v>
      </c>
      <c r="I151" t="s">
        <v>505</v>
      </c>
      <c r="J151" t="s">
        <v>65</v>
      </c>
    </row>
    <row r="152" spans="1:10" x14ac:dyDescent="0.3">
      <c r="A152">
        <v>1028</v>
      </c>
      <c r="B152" t="s">
        <v>506</v>
      </c>
      <c r="C152">
        <v>56</v>
      </c>
      <c r="D152" t="s">
        <v>56</v>
      </c>
      <c r="E152" s="1">
        <v>45960</v>
      </c>
      <c r="F152" t="s">
        <v>354</v>
      </c>
      <c r="G152" t="s">
        <v>507</v>
      </c>
      <c r="H152" t="s">
        <v>19</v>
      </c>
      <c r="I152" t="s">
        <v>508</v>
      </c>
      <c r="J152" t="s">
        <v>65</v>
      </c>
    </row>
    <row r="153" spans="1:10" x14ac:dyDescent="0.3">
      <c r="A153">
        <v>1057</v>
      </c>
      <c r="B153" t="s">
        <v>509</v>
      </c>
      <c r="C153">
        <v>32</v>
      </c>
      <c r="D153" t="s">
        <v>76</v>
      </c>
      <c r="E153" s="2">
        <v>45746</v>
      </c>
      <c r="F153" s="1">
        <v>45356</v>
      </c>
      <c r="G153" t="s">
        <v>510</v>
      </c>
      <c r="H153" t="s">
        <v>29</v>
      </c>
      <c r="I153" t="s">
        <v>511</v>
      </c>
      <c r="J153">
        <v>1</v>
      </c>
    </row>
    <row r="154" spans="1:10" x14ac:dyDescent="0.3">
      <c r="A154">
        <v>1002</v>
      </c>
      <c r="B154" t="s">
        <v>512</v>
      </c>
      <c r="C154">
        <v>87</v>
      </c>
      <c r="D154" t="s">
        <v>23</v>
      </c>
      <c r="E154" s="2">
        <v>45755</v>
      </c>
      <c r="F154" s="2">
        <v>45630</v>
      </c>
      <c r="G154" t="s">
        <v>513</v>
      </c>
      <c r="H154" t="s">
        <v>13</v>
      </c>
      <c r="I154" t="s">
        <v>514</v>
      </c>
      <c r="J154" t="s">
        <v>39</v>
      </c>
    </row>
    <row r="155" spans="1:10" x14ac:dyDescent="0.3">
      <c r="A155">
        <v>1065</v>
      </c>
      <c r="B155" t="s">
        <v>515</v>
      </c>
      <c r="C155">
        <v>18</v>
      </c>
      <c r="D155">
        <v>0</v>
      </c>
      <c r="E155" s="1">
        <v>45955</v>
      </c>
      <c r="F155" s="1">
        <v>45360</v>
      </c>
      <c r="G155" t="s">
        <v>516</v>
      </c>
      <c r="H155" t="s">
        <v>25</v>
      </c>
      <c r="I155" t="s">
        <v>517</v>
      </c>
      <c r="J155">
        <v>0</v>
      </c>
    </row>
    <row r="156" spans="1:10" x14ac:dyDescent="0.3">
      <c r="A156">
        <v>1026</v>
      </c>
      <c r="B156" t="s">
        <v>518</v>
      </c>
      <c r="C156">
        <v>87</v>
      </c>
      <c r="D156">
        <v>1</v>
      </c>
      <c r="E156" s="1">
        <v>46056</v>
      </c>
      <c r="F156" s="1">
        <v>45998</v>
      </c>
      <c r="G156" t="s">
        <v>519</v>
      </c>
      <c r="H156" t="s">
        <v>25</v>
      </c>
      <c r="I156" t="s">
        <v>520</v>
      </c>
      <c r="J156" t="s">
        <v>21</v>
      </c>
    </row>
    <row r="157" spans="1:10" x14ac:dyDescent="0.3">
      <c r="A157">
        <v>1100</v>
      </c>
      <c r="B157" t="s">
        <v>521</v>
      </c>
      <c r="C157">
        <v>62</v>
      </c>
      <c r="D157">
        <v>0</v>
      </c>
      <c r="E157" s="2">
        <v>45750</v>
      </c>
      <c r="F157" t="s">
        <v>522</v>
      </c>
      <c r="G157" t="s">
        <v>523</v>
      </c>
      <c r="H157" t="s">
        <v>19</v>
      </c>
      <c r="I157" t="s">
        <v>524</v>
      </c>
      <c r="J157" t="s">
        <v>21</v>
      </c>
    </row>
    <row r="158" spans="1:10" x14ac:dyDescent="0.3">
      <c r="A158">
        <v>1066</v>
      </c>
      <c r="B158" t="s">
        <v>525</v>
      </c>
      <c r="C158">
        <v>86</v>
      </c>
      <c r="D158" t="s">
        <v>16</v>
      </c>
      <c r="E158" s="2">
        <v>46071</v>
      </c>
      <c r="F158" s="1">
        <v>45577</v>
      </c>
      <c r="G158" t="s">
        <v>526</v>
      </c>
      <c r="H158" t="s">
        <v>13</v>
      </c>
      <c r="I158" t="s">
        <v>527</v>
      </c>
      <c r="J158">
        <v>1</v>
      </c>
    </row>
    <row r="159" spans="1:10" x14ac:dyDescent="0.3">
      <c r="A159">
        <v>1025</v>
      </c>
      <c r="B159" t="s">
        <v>528</v>
      </c>
      <c r="C159">
        <v>25</v>
      </c>
      <c r="D159" t="s">
        <v>56</v>
      </c>
      <c r="E159" s="2">
        <v>45938</v>
      </c>
      <c r="F159" s="2">
        <v>45740</v>
      </c>
      <c r="G159" t="s">
        <v>529</v>
      </c>
      <c r="H159" t="s">
        <v>19</v>
      </c>
      <c r="I159" t="s">
        <v>530</v>
      </c>
      <c r="J159">
        <v>0</v>
      </c>
    </row>
    <row r="160" spans="1:10" x14ac:dyDescent="0.3">
      <c r="A160">
        <v>1038</v>
      </c>
      <c r="B160" t="s">
        <v>531</v>
      </c>
      <c r="C160">
        <v>46</v>
      </c>
      <c r="D160" t="s">
        <v>41</v>
      </c>
      <c r="E160" s="2">
        <v>45904</v>
      </c>
      <c r="F160" s="2">
        <v>45785</v>
      </c>
      <c r="G160" t="s">
        <v>532</v>
      </c>
      <c r="H160" t="s">
        <v>19</v>
      </c>
      <c r="I160" t="s">
        <v>533</v>
      </c>
      <c r="J160">
        <v>1</v>
      </c>
    </row>
    <row r="161" spans="1:10" x14ac:dyDescent="0.3">
      <c r="A161">
        <v>1038</v>
      </c>
      <c r="B161" t="s">
        <v>534</v>
      </c>
      <c r="C161">
        <v>39</v>
      </c>
      <c r="D161" t="s">
        <v>56</v>
      </c>
      <c r="E161" s="2">
        <v>45953</v>
      </c>
      <c r="F161" t="s">
        <v>535</v>
      </c>
      <c r="G161" t="s">
        <v>536</v>
      </c>
      <c r="H161" t="s">
        <v>19</v>
      </c>
      <c r="J161">
        <v>0</v>
      </c>
    </row>
    <row r="162" spans="1:10" x14ac:dyDescent="0.3">
      <c r="A162">
        <v>1000</v>
      </c>
      <c r="B162" t="s">
        <v>537</v>
      </c>
      <c r="C162">
        <v>81</v>
      </c>
      <c r="D162" t="s">
        <v>16</v>
      </c>
      <c r="E162" s="2">
        <v>45956</v>
      </c>
      <c r="F162" s="1">
        <v>45707</v>
      </c>
      <c r="G162" t="s">
        <v>538</v>
      </c>
      <c r="H162" t="s">
        <v>29</v>
      </c>
      <c r="I162" t="s">
        <v>539</v>
      </c>
      <c r="J162">
        <v>1</v>
      </c>
    </row>
    <row r="163" spans="1:10" x14ac:dyDescent="0.3">
      <c r="A163">
        <v>1008</v>
      </c>
      <c r="B163" t="s">
        <v>540</v>
      </c>
      <c r="C163">
        <v>69</v>
      </c>
      <c r="D163">
        <v>0</v>
      </c>
      <c r="E163" s="1">
        <v>45874</v>
      </c>
      <c r="F163" t="s">
        <v>541</v>
      </c>
      <c r="G163" t="s">
        <v>542</v>
      </c>
      <c r="H163" t="s">
        <v>25</v>
      </c>
      <c r="I163" t="s">
        <v>543</v>
      </c>
      <c r="J163" t="s">
        <v>39</v>
      </c>
    </row>
    <row r="164" spans="1:10" x14ac:dyDescent="0.3">
      <c r="A164">
        <v>1078</v>
      </c>
      <c r="B164" t="s">
        <v>544</v>
      </c>
      <c r="C164">
        <v>54</v>
      </c>
      <c r="D164">
        <v>0</v>
      </c>
      <c r="E164" s="2">
        <v>45867</v>
      </c>
      <c r="F164" s="1">
        <v>45449</v>
      </c>
      <c r="G164" t="s">
        <v>545</v>
      </c>
      <c r="H164" t="s">
        <v>25</v>
      </c>
      <c r="I164" t="s">
        <v>546</v>
      </c>
      <c r="J164" t="s">
        <v>31</v>
      </c>
    </row>
    <row r="165" spans="1:10" x14ac:dyDescent="0.3">
      <c r="A165">
        <v>1038</v>
      </c>
      <c r="B165" t="s">
        <v>547</v>
      </c>
      <c r="C165">
        <v>79</v>
      </c>
      <c r="D165" t="s">
        <v>16</v>
      </c>
      <c r="E165" s="1">
        <v>45790</v>
      </c>
      <c r="F165" s="2">
        <v>45537</v>
      </c>
      <c r="G165" t="s">
        <v>548</v>
      </c>
      <c r="H165" t="s">
        <v>19</v>
      </c>
      <c r="I165" t="s">
        <v>549</v>
      </c>
      <c r="J165" t="s">
        <v>31</v>
      </c>
    </row>
    <row r="166" spans="1:10" x14ac:dyDescent="0.3">
      <c r="A166">
        <v>1082</v>
      </c>
      <c r="B166" t="s">
        <v>550</v>
      </c>
      <c r="C166">
        <v>87</v>
      </c>
      <c r="E166" s="2">
        <v>45742</v>
      </c>
      <c r="F166" s="2">
        <v>45377</v>
      </c>
      <c r="G166" t="s">
        <v>551</v>
      </c>
      <c r="H166" t="s">
        <v>19</v>
      </c>
      <c r="I166" t="s">
        <v>552</v>
      </c>
      <c r="J166" t="s">
        <v>39</v>
      </c>
    </row>
    <row r="167" spans="1:10" x14ac:dyDescent="0.3">
      <c r="A167">
        <v>1028</v>
      </c>
      <c r="B167" t="s">
        <v>553</v>
      </c>
      <c r="C167">
        <v>24</v>
      </c>
      <c r="D167" t="s">
        <v>56</v>
      </c>
      <c r="E167" s="1">
        <v>46010</v>
      </c>
      <c r="F167" s="1">
        <v>45839</v>
      </c>
      <c r="G167" t="s">
        <v>554</v>
      </c>
      <c r="H167" t="s">
        <v>29</v>
      </c>
      <c r="I167" t="s">
        <v>555</v>
      </c>
      <c r="J167" t="s">
        <v>39</v>
      </c>
    </row>
    <row r="168" spans="1:10" x14ac:dyDescent="0.3">
      <c r="A168">
        <v>1048</v>
      </c>
      <c r="B168" t="s">
        <v>556</v>
      </c>
      <c r="C168">
        <v>77</v>
      </c>
      <c r="D168" t="s">
        <v>11</v>
      </c>
      <c r="E168" s="2">
        <v>45951</v>
      </c>
      <c r="F168" s="2">
        <v>45491</v>
      </c>
      <c r="G168" t="s">
        <v>557</v>
      </c>
      <c r="H168" t="s">
        <v>29</v>
      </c>
      <c r="I168" t="s">
        <v>558</v>
      </c>
      <c r="J168" t="s">
        <v>65</v>
      </c>
    </row>
    <row r="169" spans="1:10" x14ac:dyDescent="0.3">
      <c r="A169">
        <v>1035</v>
      </c>
      <c r="B169" t="s">
        <v>559</v>
      </c>
      <c r="C169">
        <v>60</v>
      </c>
      <c r="D169">
        <v>1</v>
      </c>
      <c r="E169" s="2">
        <v>45974</v>
      </c>
      <c r="F169" s="2">
        <v>45831</v>
      </c>
      <c r="G169" t="s">
        <v>560</v>
      </c>
      <c r="H169" t="s">
        <v>13</v>
      </c>
      <c r="I169" t="s">
        <v>561</v>
      </c>
      <c r="J169" t="s">
        <v>65</v>
      </c>
    </row>
    <row r="170" spans="1:10" x14ac:dyDescent="0.3">
      <c r="A170">
        <v>1010</v>
      </c>
      <c r="B170" t="s">
        <v>562</v>
      </c>
      <c r="C170">
        <v>57</v>
      </c>
      <c r="D170" t="s">
        <v>76</v>
      </c>
      <c r="E170" s="2">
        <v>45802</v>
      </c>
      <c r="F170" s="2">
        <v>45744</v>
      </c>
      <c r="G170" t="s">
        <v>563</v>
      </c>
      <c r="H170" t="s">
        <v>29</v>
      </c>
      <c r="I170" t="s">
        <v>564</v>
      </c>
      <c r="J170" t="s">
        <v>21</v>
      </c>
    </row>
    <row r="171" spans="1:10" x14ac:dyDescent="0.3">
      <c r="A171">
        <v>1043</v>
      </c>
      <c r="B171" t="s">
        <v>565</v>
      </c>
      <c r="C171">
        <v>69</v>
      </c>
      <c r="D171" t="s">
        <v>56</v>
      </c>
      <c r="E171" s="1">
        <v>45783</v>
      </c>
      <c r="F171" s="2">
        <v>45563</v>
      </c>
      <c r="G171" t="s">
        <v>566</v>
      </c>
      <c r="H171" t="s">
        <v>13</v>
      </c>
      <c r="I171" t="s">
        <v>567</v>
      </c>
      <c r="J171" t="s">
        <v>39</v>
      </c>
    </row>
    <row r="172" spans="1:10" x14ac:dyDescent="0.3">
      <c r="A172">
        <v>1083</v>
      </c>
      <c r="B172" t="s">
        <v>568</v>
      </c>
      <c r="C172">
        <v>58</v>
      </c>
      <c r="D172" t="s">
        <v>23</v>
      </c>
      <c r="E172" s="2">
        <v>46039</v>
      </c>
      <c r="F172" s="2">
        <v>45859</v>
      </c>
      <c r="G172" t="s">
        <v>569</v>
      </c>
      <c r="H172" t="s">
        <v>13</v>
      </c>
      <c r="I172" t="s">
        <v>570</v>
      </c>
      <c r="J172" t="s">
        <v>65</v>
      </c>
    </row>
    <row r="173" spans="1:10" x14ac:dyDescent="0.3">
      <c r="A173">
        <v>1026</v>
      </c>
      <c r="B173" t="s">
        <v>571</v>
      </c>
      <c r="C173">
        <v>86</v>
      </c>
      <c r="D173" t="s">
        <v>16</v>
      </c>
      <c r="E173" s="2">
        <v>46008</v>
      </c>
      <c r="F173" s="2">
        <v>45919</v>
      </c>
      <c r="G173" t="s">
        <v>572</v>
      </c>
      <c r="H173" t="s">
        <v>19</v>
      </c>
      <c r="I173" t="s">
        <v>573</v>
      </c>
      <c r="J173">
        <v>0</v>
      </c>
    </row>
    <row r="174" spans="1:10" x14ac:dyDescent="0.3">
      <c r="A174">
        <v>1046</v>
      </c>
      <c r="B174" t="s">
        <v>574</v>
      </c>
      <c r="C174">
        <v>50</v>
      </c>
      <c r="D174" t="s">
        <v>16</v>
      </c>
      <c r="E174" s="1">
        <v>45994</v>
      </c>
      <c r="F174" s="2">
        <v>45506</v>
      </c>
      <c r="G174" t="s">
        <v>575</v>
      </c>
      <c r="H174" t="s">
        <v>19</v>
      </c>
      <c r="I174" t="s">
        <v>576</v>
      </c>
      <c r="J174" t="s">
        <v>39</v>
      </c>
    </row>
    <row r="175" spans="1:10" x14ac:dyDescent="0.3">
      <c r="A175">
        <v>1084</v>
      </c>
      <c r="B175" t="s">
        <v>577</v>
      </c>
      <c r="C175">
        <v>52</v>
      </c>
      <c r="E175" s="2">
        <v>46019</v>
      </c>
      <c r="F175" s="2">
        <v>45712</v>
      </c>
      <c r="G175" t="s">
        <v>578</v>
      </c>
      <c r="H175" t="s">
        <v>29</v>
      </c>
      <c r="I175" t="s">
        <v>579</v>
      </c>
      <c r="J175" t="s">
        <v>39</v>
      </c>
    </row>
    <row r="176" spans="1:10" x14ac:dyDescent="0.3">
      <c r="A176">
        <v>1006</v>
      </c>
      <c r="B176" t="s">
        <v>580</v>
      </c>
      <c r="C176">
        <v>54</v>
      </c>
      <c r="D176" t="s">
        <v>11</v>
      </c>
      <c r="E176" t="s">
        <v>581</v>
      </c>
      <c r="F176" s="1">
        <v>45300</v>
      </c>
      <c r="G176" t="s">
        <v>582</v>
      </c>
      <c r="H176" t="s">
        <v>19</v>
      </c>
      <c r="I176" t="s">
        <v>583</v>
      </c>
      <c r="J176" t="s">
        <v>31</v>
      </c>
    </row>
    <row r="177" spans="1:10" x14ac:dyDescent="0.3">
      <c r="A177">
        <v>1015</v>
      </c>
      <c r="B177" t="s">
        <v>584</v>
      </c>
      <c r="C177">
        <v>43</v>
      </c>
      <c r="D177">
        <v>0</v>
      </c>
      <c r="E177" s="1">
        <v>45987</v>
      </c>
      <c r="F177" t="s">
        <v>585</v>
      </c>
      <c r="G177" t="s">
        <v>586</v>
      </c>
      <c r="H177" t="s">
        <v>25</v>
      </c>
      <c r="I177" t="s">
        <v>587</v>
      </c>
      <c r="J177" t="s">
        <v>21</v>
      </c>
    </row>
    <row r="178" spans="1:10" x14ac:dyDescent="0.3">
      <c r="A178">
        <v>1091</v>
      </c>
      <c r="B178" t="s">
        <v>588</v>
      </c>
      <c r="C178">
        <v>80</v>
      </c>
      <c r="D178" t="s">
        <v>76</v>
      </c>
      <c r="E178" s="1">
        <v>45913</v>
      </c>
      <c r="F178" s="2">
        <v>45845</v>
      </c>
      <c r="G178" t="s">
        <v>589</v>
      </c>
      <c r="H178" t="s">
        <v>13</v>
      </c>
      <c r="J178" t="s">
        <v>21</v>
      </c>
    </row>
    <row r="179" spans="1:10" x14ac:dyDescent="0.3">
      <c r="A179">
        <v>1024</v>
      </c>
      <c r="B179" t="s">
        <v>590</v>
      </c>
      <c r="C179">
        <v>34</v>
      </c>
      <c r="D179" t="s">
        <v>23</v>
      </c>
      <c r="E179" s="1">
        <v>46064</v>
      </c>
      <c r="F179" t="s">
        <v>591</v>
      </c>
      <c r="G179" t="s">
        <v>592</v>
      </c>
      <c r="H179" t="s">
        <v>19</v>
      </c>
      <c r="I179" t="s">
        <v>593</v>
      </c>
      <c r="J179">
        <v>1</v>
      </c>
    </row>
    <row r="180" spans="1:10" x14ac:dyDescent="0.3">
      <c r="A180">
        <v>1033</v>
      </c>
      <c r="B180" t="s">
        <v>594</v>
      </c>
      <c r="C180">
        <v>87</v>
      </c>
      <c r="D180" t="s">
        <v>11</v>
      </c>
      <c r="E180" s="1">
        <v>45812</v>
      </c>
      <c r="F180" s="1">
        <v>45330</v>
      </c>
      <c r="G180" t="s">
        <v>595</v>
      </c>
      <c r="H180" t="s">
        <v>19</v>
      </c>
      <c r="I180" t="s">
        <v>596</v>
      </c>
      <c r="J180" t="s">
        <v>65</v>
      </c>
    </row>
    <row r="181" spans="1:10" x14ac:dyDescent="0.3">
      <c r="A181">
        <v>1010</v>
      </c>
      <c r="B181" t="s">
        <v>597</v>
      </c>
      <c r="C181">
        <v>21</v>
      </c>
      <c r="D181" t="s">
        <v>16</v>
      </c>
      <c r="E181" s="1">
        <v>46065</v>
      </c>
      <c r="F181" s="1">
        <v>45840</v>
      </c>
      <c r="G181" t="s">
        <v>598</v>
      </c>
      <c r="H181" t="s">
        <v>25</v>
      </c>
      <c r="I181" t="s">
        <v>599</v>
      </c>
      <c r="J181" t="s">
        <v>21</v>
      </c>
    </row>
    <row r="182" spans="1:10" x14ac:dyDescent="0.3">
      <c r="A182">
        <v>1082</v>
      </c>
      <c r="B182" t="s">
        <v>600</v>
      </c>
      <c r="C182">
        <v>37</v>
      </c>
      <c r="D182" t="s">
        <v>23</v>
      </c>
      <c r="E182" s="2">
        <v>45978</v>
      </c>
      <c r="F182" s="1">
        <v>45664</v>
      </c>
      <c r="G182" t="s">
        <v>601</v>
      </c>
      <c r="H182" t="s">
        <v>19</v>
      </c>
      <c r="I182" t="s">
        <v>602</v>
      </c>
      <c r="J182">
        <v>0</v>
      </c>
    </row>
    <row r="183" spans="1:10" x14ac:dyDescent="0.3">
      <c r="A183">
        <v>1096</v>
      </c>
      <c r="B183" t="s">
        <v>603</v>
      </c>
      <c r="C183">
        <v>42</v>
      </c>
      <c r="D183" t="s">
        <v>56</v>
      </c>
      <c r="E183" s="1">
        <v>45881</v>
      </c>
      <c r="F183" s="1">
        <v>45513</v>
      </c>
      <c r="G183" t="s">
        <v>604</v>
      </c>
      <c r="H183" t="s">
        <v>25</v>
      </c>
      <c r="I183" t="s">
        <v>605</v>
      </c>
      <c r="J183" t="s">
        <v>31</v>
      </c>
    </row>
    <row r="184" spans="1:10" x14ac:dyDescent="0.3">
      <c r="A184">
        <v>1011</v>
      </c>
      <c r="B184" t="s">
        <v>606</v>
      </c>
      <c r="C184">
        <v>53</v>
      </c>
      <c r="D184">
        <v>1</v>
      </c>
      <c r="E184" s="2">
        <v>45956</v>
      </c>
      <c r="F184" s="1">
        <v>45914</v>
      </c>
      <c r="G184" t="s">
        <v>607</v>
      </c>
      <c r="H184" t="s">
        <v>25</v>
      </c>
      <c r="I184" t="s">
        <v>608</v>
      </c>
      <c r="J184">
        <v>0</v>
      </c>
    </row>
    <row r="185" spans="1:10" x14ac:dyDescent="0.3">
      <c r="A185">
        <v>1002</v>
      </c>
      <c r="B185" t="s">
        <v>609</v>
      </c>
      <c r="C185">
        <v>35</v>
      </c>
      <c r="D185">
        <v>1</v>
      </c>
      <c r="E185" t="s">
        <v>610</v>
      </c>
      <c r="F185" s="2">
        <v>45436</v>
      </c>
      <c r="G185" t="s">
        <v>611</v>
      </c>
      <c r="H185" t="s">
        <v>25</v>
      </c>
      <c r="I185" t="s">
        <v>612</v>
      </c>
      <c r="J185" t="s">
        <v>21</v>
      </c>
    </row>
    <row r="186" spans="1:10" x14ac:dyDescent="0.3">
      <c r="A186">
        <v>1016</v>
      </c>
      <c r="B186" t="s">
        <v>613</v>
      </c>
      <c r="C186">
        <v>44</v>
      </c>
      <c r="D186" t="s">
        <v>56</v>
      </c>
      <c r="E186" s="2">
        <v>45830</v>
      </c>
      <c r="F186" s="1">
        <v>45461</v>
      </c>
      <c r="G186" t="s">
        <v>614</v>
      </c>
      <c r="H186" t="s">
        <v>19</v>
      </c>
      <c r="I186" t="s">
        <v>615</v>
      </c>
      <c r="J186">
        <v>1</v>
      </c>
    </row>
    <row r="187" spans="1:10" x14ac:dyDescent="0.3">
      <c r="A187">
        <v>1077</v>
      </c>
      <c r="B187" t="s">
        <v>616</v>
      </c>
      <c r="C187">
        <v>83</v>
      </c>
      <c r="D187" t="s">
        <v>76</v>
      </c>
      <c r="E187" s="1">
        <v>45790</v>
      </c>
      <c r="F187" s="2">
        <v>45716</v>
      </c>
      <c r="G187" t="s">
        <v>144</v>
      </c>
      <c r="H187" t="s">
        <v>29</v>
      </c>
      <c r="I187" t="s">
        <v>617</v>
      </c>
      <c r="J187" t="s">
        <v>39</v>
      </c>
    </row>
    <row r="188" spans="1:10" x14ac:dyDescent="0.3">
      <c r="A188">
        <v>1026</v>
      </c>
      <c r="B188" t="s">
        <v>618</v>
      </c>
      <c r="C188">
        <v>25</v>
      </c>
      <c r="D188" t="s">
        <v>11</v>
      </c>
      <c r="E188" s="2">
        <v>45845</v>
      </c>
      <c r="F188" s="2">
        <v>45449</v>
      </c>
      <c r="G188" t="s">
        <v>619</v>
      </c>
      <c r="H188" t="s">
        <v>29</v>
      </c>
      <c r="I188" t="s">
        <v>620</v>
      </c>
      <c r="J188" t="s">
        <v>21</v>
      </c>
    </row>
    <row r="189" spans="1:10" x14ac:dyDescent="0.3">
      <c r="A189">
        <v>1052</v>
      </c>
      <c r="B189" t="s">
        <v>621</v>
      </c>
      <c r="C189">
        <v>59</v>
      </c>
      <c r="D189">
        <v>0</v>
      </c>
      <c r="E189" t="s">
        <v>622</v>
      </c>
      <c r="F189" s="2">
        <v>45683</v>
      </c>
      <c r="G189" t="s">
        <v>623</v>
      </c>
      <c r="H189" t="s">
        <v>19</v>
      </c>
      <c r="I189" t="s">
        <v>624</v>
      </c>
      <c r="J189" t="s">
        <v>65</v>
      </c>
    </row>
    <row r="190" spans="1:10" x14ac:dyDescent="0.3">
      <c r="A190">
        <v>1040</v>
      </c>
      <c r="B190" t="s">
        <v>625</v>
      </c>
      <c r="C190">
        <v>33</v>
      </c>
      <c r="D190" t="s">
        <v>41</v>
      </c>
      <c r="E190" s="2">
        <v>46041</v>
      </c>
      <c r="F190" s="1">
        <v>45381</v>
      </c>
      <c r="G190" t="s">
        <v>626</v>
      </c>
      <c r="H190" t="s">
        <v>29</v>
      </c>
      <c r="I190" t="s">
        <v>627</v>
      </c>
      <c r="J190">
        <v>1</v>
      </c>
    </row>
    <row r="191" spans="1:10" x14ac:dyDescent="0.3">
      <c r="A191">
        <v>1068</v>
      </c>
      <c r="B191" t="s">
        <v>628</v>
      </c>
      <c r="C191">
        <v>29</v>
      </c>
      <c r="D191" t="s">
        <v>56</v>
      </c>
      <c r="E191" s="2">
        <v>45804</v>
      </c>
      <c r="F191" s="2">
        <v>45588</v>
      </c>
      <c r="G191" t="s">
        <v>629</v>
      </c>
      <c r="H191" t="s">
        <v>29</v>
      </c>
      <c r="I191" t="s">
        <v>630</v>
      </c>
      <c r="J191" t="s">
        <v>39</v>
      </c>
    </row>
    <row r="192" spans="1:10" x14ac:dyDescent="0.3">
      <c r="A192">
        <v>1013</v>
      </c>
      <c r="B192" t="s">
        <v>631</v>
      </c>
      <c r="C192">
        <v>25</v>
      </c>
      <c r="D192" t="s">
        <v>23</v>
      </c>
      <c r="E192" s="2">
        <v>45962</v>
      </c>
      <c r="F192" s="1">
        <v>45502</v>
      </c>
      <c r="G192" t="s">
        <v>632</v>
      </c>
      <c r="H192" t="s">
        <v>19</v>
      </c>
      <c r="I192" t="s">
        <v>633</v>
      </c>
      <c r="J192" t="s">
        <v>31</v>
      </c>
    </row>
    <row r="193" spans="1:10" x14ac:dyDescent="0.3">
      <c r="A193">
        <v>1024</v>
      </c>
      <c r="B193" t="s">
        <v>634</v>
      </c>
      <c r="C193">
        <v>33</v>
      </c>
      <c r="D193">
        <v>0</v>
      </c>
      <c r="E193" s="2">
        <v>46075</v>
      </c>
      <c r="F193" s="2">
        <v>45919</v>
      </c>
      <c r="G193" t="s">
        <v>635</v>
      </c>
      <c r="H193" t="s">
        <v>19</v>
      </c>
      <c r="I193" t="s">
        <v>636</v>
      </c>
      <c r="J193" t="s">
        <v>21</v>
      </c>
    </row>
    <row r="194" spans="1:10" x14ac:dyDescent="0.3">
      <c r="A194">
        <v>1033</v>
      </c>
      <c r="B194" t="s">
        <v>637</v>
      </c>
      <c r="C194">
        <v>56</v>
      </c>
      <c r="D194">
        <v>0</v>
      </c>
      <c r="E194" s="1">
        <v>45849</v>
      </c>
      <c r="F194" s="2">
        <v>45632</v>
      </c>
      <c r="G194" t="s">
        <v>638</v>
      </c>
      <c r="H194" t="s">
        <v>19</v>
      </c>
      <c r="I194" t="s">
        <v>639</v>
      </c>
      <c r="J194" t="s">
        <v>39</v>
      </c>
    </row>
    <row r="195" spans="1:10" x14ac:dyDescent="0.3">
      <c r="A195">
        <v>1067</v>
      </c>
      <c r="B195" t="s">
        <v>640</v>
      </c>
      <c r="C195">
        <v>85</v>
      </c>
      <c r="D195" t="s">
        <v>76</v>
      </c>
      <c r="E195" s="2">
        <v>45955</v>
      </c>
      <c r="F195" s="1">
        <v>45709</v>
      </c>
      <c r="G195" t="s">
        <v>641</v>
      </c>
      <c r="H195" t="s">
        <v>19</v>
      </c>
      <c r="I195" t="s">
        <v>642</v>
      </c>
      <c r="J195" t="s">
        <v>21</v>
      </c>
    </row>
    <row r="196" spans="1:10" x14ac:dyDescent="0.3">
      <c r="A196">
        <v>1045</v>
      </c>
      <c r="B196" t="s">
        <v>643</v>
      </c>
      <c r="C196">
        <v>24</v>
      </c>
      <c r="D196" t="s">
        <v>41</v>
      </c>
      <c r="E196" s="2">
        <v>45807</v>
      </c>
      <c r="F196" t="s">
        <v>644</v>
      </c>
      <c r="G196" t="s">
        <v>645</v>
      </c>
      <c r="H196" t="s">
        <v>25</v>
      </c>
      <c r="I196" t="s">
        <v>646</v>
      </c>
      <c r="J196" t="s">
        <v>39</v>
      </c>
    </row>
    <row r="197" spans="1:10" x14ac:dyDescent="0.3">
      <c r="A197">
        <v>1087</v>
      </c>
      <c r="B197" t="s">
        <v>647</v>
      </c>
      <c r="C197">
        <v>31</v>
      </c>
      <c r="D197">
        <v>0</v>
      </c>
      <c r="E197" t="s">
        <v>648</v>
      </c>
      <c r="F197" s="2">
        <v>45749</v>
      </c>
      <c r="G197" t="s">
        <v>649</v>
      </c>
      <c r="H197" t="s">
        <v>29</v>
      </c>
      <c r="J197" t="s">
        <v>21</v>
      </c>
    </row>
    <row r="198" spans="1:10" x14ac:dyDescent="0.3">
      <c r="A198">
        <v>1056</v>
      </c>
      <c r="B198" t="s">
        <v>650</v>
      </c>
      <c r="C198">
        <v>24</v>
      </c>
      <c r="D198" t="s">
        <v>16</v>
      </c>
      <c r="E198" s="2">
        <v>45769</v>
      </c>
      <c r="F198" s="2">
        <v>45740</v>
      </c>
      <c r="G198" t="s">
        <v>651</v>
      </c>
      <c r="H198" t="s">
        <v>29</v>
      </c>
      <c r="J198" t="s">
        <v>39</v>
      </c>
    </row>
    <row r="199" spans="1:10" x14ac:dyDescent="0.3">
      <c r="A199">
        <v>1053</v>
      </c>
      <c r="B199" t="s">
        <v>652</v>
      </c>
      <c r="C199">
        <v>81</v>
      </c>
      <c r="D199" t="s">
        <v>41</v>
      </c>
      <c r="E199" s="2">
        <v>45760</v>
      </c>
      <c r="F199" s="2">
        <v>45629</v>
      </c>
      <c r="G199" t="s">
        <v>653</v>
      </c>
      <c r="H199" t="s">
        <v>13</v>
      </c>
      <c r="I199" t="s">
        <v>654</v>
      </c>
      <c r="J199" t="s">
        <v>21</v>
      </c>
    </row>
    <row r="200" spans="1:10" x14ac:dyDescent="0.3">
      <c r="A200">
        <v>1059</v>
      </c>
      <c r="B200" t="s">
        <v>655</v>
      </c>
      <c r="C200">
        <v>79</v>
      </c>
      <c r="D200" t="s">
        <v>56</v>
      </c>
      <c r="E200" s="2">
        <v>45893</v>
      </c>
      <c r="F200" t="s">
        <v>656</v>
      </c>
      <c r="G200" t="s">
        <v>657</v>
      </c>
      <c r="H200" t="s">
        <v>19</v>
      </c>
      <c r="I200" t="s">
        <v>658</v>
      </c>
      <c r="J200" t="s">
        <v>39</v>
      </c>
    </row>
    <row r="201" spans="1:10" x14ac:dyDescent="0.3">
      <c r="A201">
        <v>1050</v>
      </c>
      <c r="B201" t="s">
        <v>659</v>
      </c>
      <c r="C201">
        <v>32</v>
      </c>
      <c r="D201" t="s">
        <v>23</v>
      </c>
      <c r="E201" s="2">
        <v>45751</v>
      </c>
      <c r="F201" s="1">
        <v>45428</v>
      </c>
      <c r="G201" t="s">
        <v>660</v>
      </c>
      <c r="H201" t="s">
        <v>19</v>
      </c>
      <c r="I201" t="s">
        <v>661</v>
      </c>
      <c r="J201" t="s">
        <v>21</v>
      </c>
    </row>
    <row r="202" spans="1:10" x14ac:dyDescent="0.3">
      <c r="A202">
        <v>1044</v>
      </c>
      <c r="B202" t="s">
        <v>662</v>
      </c>
      <c r="C202">
        <v>21</v>
      </c>
      <c r="D202" t="s">
        <v>11</v>
      </c>
      <c r="E202" s="1">
        <v>45830</v>
      </c>
      <c r="F202" s="1">
        <v>45541</v>
      </c>
      <c r="G202" t="s">
        <v>663</v>
      </c>
      <c r="H202" t="s">
        <v>19</v>
      </c>
      <c r="I202" t="s">
        <v>664</v>
      </c>
      <c r="J202" t="s">
        <v>65</v>
      </c>
    </row>
    <row r="203" spans="1:10" x14ac:dyDescent="0.3">
      <c r="A203">
        <v>1089</v>
      </c>
      <c r="B203" t="s">
        <v>665</v>
      </c>
      <c r="C203">
        <v>48</v>
      </c>
      <c r="D203">
        <v>1</v>
      </c>
      <c r="E203" s="2">
        <v>45742</v>
      </c>
      <c r="F203" s="1">
        <v>45629</v>
      </c>
      <c r="G203" t="s">
        <v>666</v>
      </c>
      <c r="H203" t="s">
        <v>13</v>
      </c>
      <c r="I203" t="s">
        <v>667</v>
      </c>
      <c r="J203">
        <v>0</v>
      </c>
    </row>
    <row r="204" spans="1:10" x14ac:dyDescent="0.3">
      <c r="A204">
        <v>1074</v>
      </c>
      <c r="B204" t="s">
        <v>668</v>
      </c>
      <c r="C204">
        <v>23</v>
      </c>
      <c r="D204" t="s">
        <v>76</v>
      </c>
      <c r="E204" s="2">
        <v>45984</v>
      </c>
      <c r="F204" s="1">
        <v>45939</v>
      </c>
      <c r="G204" t="s">
        <v>669</v>
      </c>
      <c r="H204" t="s">
        <v>19</v>
      </c>
      <c r="I204" t="s">
        <v>670</v>
      </c>
      <c r="J204" t="s">
        <v>65</v>
      </c>
    </row>
    <row r="205" spans="1:10" x14ac:dyDescent="0.3">
      <c r="A205">
        <v>1026</v>
      </c>
      <c r="B205" t="s">
        <v>671</v>
      </c>
      <c r="C205">
        <v>87</v>
      </c>
      <c r="D205">
        <v>0</v>
      </c>
      <c r="E205" s="2">
        <v>46059</v>
      </c>
      <c r="F205" s="1">
        <v>45515</v>
      </c>
      <c r="G205" t="s">
        <v>672</v>
      </c>
      <c r="H205" t="s">
        <v>25</v>
      </c>
      <c r="I205" t="s">
        <v>673</v>
      </c>
      <c r="J205" t="s">
        <v>39</v>
      </c>
    </row>
    <row r="206" spans="1:10" x14ac:dyDescent="0.3">
      <c r="A206">
        <v>1059</v>
      </c>
      <c r="B206" t="s">
        <v>674</v>
      </c>
      <c r="C206">
        <v>27</v>
      </c>
      <c r="D206">
        <v>0</v>
      </c>
      <c r="E206" s="2">
        <v>45892</v>
      </c>
      <c r="F206" s="1">
        <v>45608</v>
      </c>
      <c r="G206" t="s">
        <v>675</v>
      </c>
      <c r="H206" t="s">
        <v>29</v>
      </c>
      <c r="I206" t="s">
        <v>676</v>
      </c>
      <c r="J206" t="s">
        <v>21</v>
      </c>
    </row>
    <row r="207" spans="1:10" x14ac:dyDescent="0.3">
      <c r="A207">
        <v>1065</v>
      </c>
      <c r="B207" t="s">
        <v>677</v>
      </c>
      <c r="C207">
        <v>71</v>
      </c>
      <c r="D207" t="s">
        <v>41</v>
      </c>
      <c r="E207" s="1">
        <v>46206</v>
      </c>
      <c r="F207" s="1">
        <v>45746</v>
      </c>
      <c r="G207" t="s">
        <v>678</v>
      </c>
      <c r="H207" t="s">
        <v>13</v>
      </c>
      <c r="I207" t="s">
        <v>679</v>
      </c>
      <c r="J207">
        <v>1</v>
      </c>
    </row>
    <row r="208" spans="1:10" x14ac:dyDescent="0.3">
      <c r="A208">
        <v>1085</v>
      </c>
      <c r="B208" t="s">
        <v>680</v>
      </c>
      <c r="C208">
        <v>75</v>
      </c>
      <c r="D208" t="s">
        <v>56</v>
      </c>
      <c r="E208" s="2">
        <v>45967</v>
      </c>
      <c r="F208" t="s">
        <v>681</v>
      </c>
      <c r="G208" t="s">
        <v>682</v>
      </c>
      <c r="H208" t="s">
        <v>19</v>
      </c>
      <c r="J208" t="s">
        <v>21</v>
      </c>
    </row>
    <row r="209" spans="1:10" x14ac:dyDescent="0.3">
      <c r="A209">
        <v>1024</v>
      </c>
      <c r="B209" t="s">
        <v>683</v>
      </c>
      <c r="C209">
        <v>86</v>
      </c>
      <c r="D209">
        <v>1</v>
      </c>
      <c r="E209" s="2">
        <v>46070</v>
      </c>
      <c r="F209" s="2">
        <v>46037</v>
      </c>
      <c r="G209" t="s">
        <v>684</v>
      </c>
      <c r="H209" t="s">
        <v>19</v>
      </c>
      <c r="I209" t="s">
        <v>685</v>
      </c>
      <c r="J209" t="s">
        <v>39</v>
      </c>
    </row>
    <row r="210" spans="1:10" x14ac:dyDescent="0.3">
      <c r="A210">
        <v>1048</v>
      </c>
      <c r="B210" t="s">
        <v>686</v>
      </c>
      <c r="C210">
        <v>33</v>
      </c>
      <c r="E210" s="1">
        <v>45926</v>
      </c>
      <c r="F210" s="2">
        <v>45538</v>
      </c>
      <c r="G210" t="s">
        <v>687</v>
      </c>
      <c r="H210" t="s">
        <v>25</v>
      </c>
      <c r="J210" t="s">
        <v>21</v>
      </c>
    </row>
    <row r="211" spans="1:10" x14ac:dyDescent="0.3">
      <c r="A211">
        <v>1069</v>
      </c>
      <c r="B211" t="s">
        <v>688</v>
      </c>
      <c r="C211">
        <v>73</v>
      </c>
      <c r="D211" t="s">
        <v>16</v>
      </c>
      <c r="E211" s="1">
        <v>46235</v>
      </c>
      <c r="F211" s="1">
        <v>45517</v>
      </c>
      <c r="G211" t="s">
        <v>689</v>
      </c>
      <c r="H211" t="s">
        <v>29</v>
      </c>
      <c r="I211" t="s">
        <v>690</v>
      </c>
      <c r="J211" t="s">
        <v>39</v>
      </c>
    </row>
    <row r="212" spans="1:10" x14ac:dyDescent="0.3">
      <c r="A212">
        <v>1071</v>
      </c>
      <c r="B212" t="s">
        <v>691</v>
      </c>
      <c r="C212">
        <v>73</v>
      </c>
      <c r="D212">
        <v>1</v>
      </c>
      <c r="E212" s="2">
        <v>45964</v>
      </c>
      <c r="F212" s="2">
        <v>45408</v>
      </c>
      <c r="G212" t="s">
        <v>692</v>
      </c>
      <c r="H212" t="s">
        <v>19</v>
      </c>
      <c r="I212" t="s">
        <v>693</v>
      </c>
      <c r="J212" t="s">
        <v>21</v>
      </c>
    </row>
    <row r="213" spans="1:10" x14ac:dyDescent="0.3">
      <c r="A213">
        <v>1076</v>
      </c>
      <c r="B213" t="s">
        <v>694</v>
      </c>
      <c r="C213">
        <v>21</v>
      </c>
      <c r="D213" t="s">
        <v>41</v>
      </c>
      <c r="E213" s="2">
        <v>45949</v>
      </c>
      <c r="F213" s="2">
        <v>45871</v>
      </c>
      <c r="G213" t="s">
        <v>695</v>
      </c>
      <c r="H213" t="s">
        <v>19</v>
      </c>
      <c r="I213" t="s">
        <v>696</v>
      </c>
      <c r="J213" t="s">
        <v>39</v>
      </c>
    </row>
    <row r="214" spans="1:10" x14ac:dyDescent="0.3">
      <c r="A214">
        <v>1057</v>
      </c>
      <c r="B214" t="s">
        <v>697</v>
      </c>
      <c r="C214">
        <v>28</v>
      </c>
      <c r="D214">
        <v>1</v>
      </c>
      <c r="E214" s="2">
        <v>45816</v>
      </c>
      <c r="F214" s="1">
        <v>45814</v>
      </c>
      <c r="G214" t="s">
        <v>698</v>
      </c>
      <c r="H214" t="s">
        <v>25</v>
      </c>
      <c r="I214" t="s">
        <v>699</v>
      </c>
      <c r="J214" t="s">
        <v>65</v>
      </c>
    </row>
    <row r="215" spans="1:10" x14ac:dyDescent="0.3">
      <c r="A215">
        <v>1029</v>
      </c>
      <c r="B215" t="s">
        <v>700</v>
      </c>
      <c r="C215">
        <v>49</v>
      </c>
      <c r="D215" t="s">
        <v>41</v>
      </c>
      <c r="E215" s="1">
        <v>45792</v>
      </c>
      <c r="F215" s="2">
        <v>45756</v>
      </c>
      <c r="G215" t="s">
        <v>701</v>
      </c>
      <c r="H215" t="s">
        <v>25</v>
      </c>
      <c r="I215" t="s">
        <v>702</v>
      </c>
      <c r="J215" t="s">
        <v>39</v>
      </c>
    </row>
    <row r="216" spans="1:10" x14ac:dyDescent="0.3">
      <c r="A216">
        <v>1049</v>
      </c>
      <c r="B216" t="s">
        <v>703</v>
      </c>
      <c r="C216">
        <v>65</v>
      </c>
      <c r="D216" t="s">
        <v>56</v>
      </c>
      <c r="E216" s="1">
        <v>46032</v>
      </c>
      <c r="F216" s="2">
        <v>46028</v>
      </c>
      <c r="G216" t="s">
        <v>704</v>
      </c>
      <c r="H216" t="s">
        <v>29</v>
      </c>
      <c r="I216" t="s">
        <v>705</v>
      </c>
      <c r="J216" t="s">
        <v>21</v>
      </c>
    </row>
    <row r="217" spans="1:10" x14ac:dyDescent="0.3">
      <c r="A217">
        <v>1049</v>
      </c>
      <c r="B217" t="s">
        <v>706</v>
      </c>
      <c r="C217">
        <v>59</v>
      </c>
      <c r="D217" t="s">
        <v>76</v>
      </c>
      <c r="E217" s="1">
        <v>45975</v>
      </c>
      <c r="F217" t="s">
        <v>707</v>
      </c>
      <c r="G217" t="s">
        <v>708</v>
      </c>
      <c r="H217" t="s">
        <v>25</v>
      </c>
      <c r="I217" t="s">
        <v>709</v>
      </c>
      <c r="J217" t="s">
        <v>31</v>
      </c>
    </row>
    <row r="218" spans="1:10" x14ac:dyDescent="0.3">
      <c r="A218">
        <v>1076</v>
      </c>
      <c r="B218" t="s">
        <v>710</v>
      </c>
      <c r="C218">
        <v>24</v>
      </c>
      <c r="D218" t="s">
        <v>16</v>
      </c>
      <c r="E218" s="1">
        <v>45818</v>
      </c>
      <c r="F218" s="1">
        <v>45456</v>
      </c>
      <c r="G218" t="s">
        <v>711</v>
      </c>
      <c r="H218" t="s">
        <v>19</v>
      </c>
      <c r="I218" t="s">
        <v>712</v>
      </c>
      <c r="J218" t="s">
        <v>39</v>
      </c>
    </row>
    <row r="219" spans="1:10" x14ac:dyDescent="0.3">
      <c r="A219">
        <v>1083</v>
      </c>
      <c r="B219" t="s">
        <v>713</v>
      </c>
      <c r="C219">
        <v>56</v>
      </c>
      <c r="D219" t="s">
        <v>41</v>
      </c>
      <c r="E219" s="1">
        <v>45754</v>
      </c>
      <c r="F219" s="2">
        <v>45665</v>
      </c>
      <c r="G219" t="s">
        <v>714</v>
      </c>
      <c r="H219" t="s">
        <v>25</v>
      </c>
      <c r="I219" t="s">
        <v>715</v>
      </c>
      <c r="J219">
        <v>1</v>
      </c>
    </row>
    <row r="220" spans="1:10" x14ac:dyDescent="0.3">
      <c r="A220">
        <v>1083</v>
      </c>
      <c r="B220" t="s">
        <v>716</v>
      </c>
      <c r="C220">
        <v>21</v>
      </c>
      <c r="D220">
        <v>0</v>
      </c>
      <c r="E220" s="2">
        <v>45887</v>
      </c>
      <c r="F220" s="2">
        <v>45496</v>
      </c>
      <c r="G220" t="s">
        <v>717</v>
      </c>
      <c r="H220" t="s">
        <v>13</v>
      </c>
      <c r="I220" t="s">
        <v>718</v>
      </c>
      <c r="J220">
        <v>1</v>
      </c>
    </row>
    <row r="221" spans="1:10" x14ac:dyDescent="0.3">
      <c r="A221">
        <v>1091</v>
      </c>
      <c r="B221" t="s">
        <v>719</v>
      </c>
      <c r="C221">
        <v>20</v>
      </c>
      <c r="D221" t="s">
        <v>23</v>
      </c>
      <c r="E221" s="2">
        <v>45997</v>
      </c>
      <c r="F221" s="2">
        <v>45986</v>
      </c>
      <c r="G221" t="s">
        <v>720</v>
      </c>
      <c r="H221" t="s">
        <v>29</v>
      </c>
      <c r="I221" t="s">
        <v>721</v>
      </c>
      <c r="J221" t="s">
        <v>39</v>
      </c>
    </row>
    <row r="222" spans="1:10" x14ac:dyDescent="0.3">
      <c r="A222">
        <v>1099</v>
      </c>
      <c r="B222" t="s">
        <v>722</v>
      </c>
      <c r="C222">
        <v>23</v>
      </c>
      <c r="D222">
        <v>1</v>
      </c>
      <c r="E222" s="2">
        <v>45897</v>
      </c>
      <c r="F222" s="1">
        <v>45539</v>
      </c>
      <c r="G222" t="s">
        <v>723</v>
      </c>
      <c r="H222" t="s">
        <v>13</v>
      </c>
      <c r="I222" t="s">
        <v>724</v>
      </c>
      <c r="J222" t="s">
        <v>65</v>
      </c>
    </row>
    <row r="223" spans="1:10" x14ac:dyDescent="0.3">
      <c r="A223">
        <v>1098</v>
      </c>
      <c r="B223" t="s">
        <v>725</v>
      </c>
      <c r="C223">
        <v>39</v>
      </c>
      <c r="D223">
        <v>0</v>
      </c>
      <c r="E223" s="1">
        <v>45668</v>
      </c>
      <c r="F223" s="1">
        <v>45578</v>
      </c>
      <c r="G223" t="s">
        <v>726</v>
      </c>
      <c r="H223" t="s">
        <v>29</v>
      </c>
      <c r="I223" t="s">
        <v>727</v>
      </c>
      <c r="J223" t="s">
        <v>65</v>
      </c>
    </row>
    <row r="224" spans="1:10" x14ac:dyDescent="0.3">
      <c r="A224">
        <v>1060</v>
      </c>
      <c r="B224" t="s">
        <v>728</v>
      </c>
      <c r="C224">
        <v>32</v>
      </c>
      <c r="E224" s="1">
        <v>46024</v>
      </c>
      <c r="F224" s="1">
        <v>45706</v>
      </c>
      <c r="G224" t="s">
        <v>729</v>
      </c>
      <c r="H224" t="s">
        <v>19</v>
      </c>
      <c r="I224" t="s">
        <v>730</v>
      </c>
      <c r="J224" t="s">
        <v>39</v>
      </c>
    </row>
    <row r="225" spans="1:10" x14ac:dyDescent="0.3">
      <c r="A225">
        <v>1091</v>
      </c>
      <c r="B225" t="s">
        <v>731</v>
      </c>
      <c r="C225">
        <v>67</v>
      </c>
      <c r="D225">
        <v>1</v>
      </c>
      <c r="E225" s="2">
        <v>45870</v>
      </c>
      <c r="F225" s="1">
        <v>45786</v>
      </c>
      <c r="G225" t="s">
        <v>732</v>
      </c>
      <c r="H225" t="s">
        <v>25</v>
      </c>
      <c r="I225" t="s">
        <v>733</v>
      </c>
      <c r="J225">
        <v>0</v>
      </c>
    </row>
    <row r="226" spans="1:10" x14ac:dyDescent="0.3">
      <c r="A226">
        <v>1031</v>
      </c>
      <c r="B226" t="s">
        <v>734</v>
      </c>
      <c r="C226">
        <v>23</v>
      </c>
      <c r="D226" t="s">
        <v>56</v>
      </c>
      <c r="E226" s="2">
        <v>46087</v>
      </c>
      <c r="F226" s="2">
        <v>45493</v>
      </c>
      <c r="G226" t="s">
        <v>735</v>
      </c>
      <c r="H226" t="s">
        <v>13</v>
      </c>
      <c r="I226" t="s">
        <v>736</v>
      </c>
      <c r="J226" t="s">
        <v>39</v>
      </c>
    </row>
    <row r="227" spans="1:10" x14ac:dyDescent="0.3">
      <c r="A227">
        <v>1018</v>
      </c>
      <c r="B227" t="s">
        <v>737</v>
      </c>
      <c r="C227">
        <v>71</v>
      </c>
      <c r="D227" t="s">
        <v>23</v>
      </c>
      <c r="E227" s="2">
        <v>45794</v>
      </c>
      <c r="F227" s="2">
        <v>45651</v>
      </c>
      <c r="G227" t="s">
        <v>738</v>
      </c>
      <c r="H227" t="s">
        <v>25</v>
      </c>
      <c r="I227" t="s">
        <v>739</v>
      </c>
      <c r="J227" t="s">
        <v>39</v>
      </c>
    </row>
    <row r="228" spans="1:10" x14ac:dyDescent="0.3">
      <c r="A228">
        <v>1054</v>
      </c>
      <c r="B228" t="s">
        <v>740</v>
      </c>
      <c r="C228">
        <v>68</v>
      </c>
      <c r="D228" t="s">
        <v>56</v>
      </c>
      <c r="E228" s="1">
        <v>45761</v>
      </c>
      <c r="F228" s="2">
        <v>45701</v>
      </c>
      <c r="G228" t="s">
        <v>741</v>
      </c>
      <c r="H228" t="s">
        <v>29</v>
      </c>
      <c r="I228" t="s">
        <v>742</v>
      </c>
      <c r="J228">
        <v>0</v>
      </c>
    </row>
    <row r="229" spans="1:10" x14ac:dyDescent="0.3">
      <c r="A229">
        <v>1038</v>
      </c>
      <c r="B229" t="s">
        <v>743</v>
      </c>
      <c r="C229">
        <v>19</v>
      </c>
      <c r="D229">
        <v>1</v>
      </c>
      <c r="E229" s="2">
        <v>45747</v>
      </c>
      <c r="F229" s="2">
        <v>45592</v>
      </c>
      <c r="G229" t="s">
        <v>744</v>
      </c>
      <c r="H229" t="s">
        <v>13</v>
      </c>
      <c r="I229" t="s">
        <v>745</v>
      </c>
      <c r="J229" t="s">
        <v>65</v>
      </c>
    </row>
    <row r="230" spans="1:10" x14ac:dyDescent="0.3">
      <c r="A230">
        <v>1067</v>
      </c>
      <c r="B230" t="s">
        <v>746</v>
      </c>
      <c r="C230">
        <v>33</v>
      </c>
      <c r="D230">
        <v>0</v>
      </c>
      <c r="E230" s="2">
        <v>46020</v>
      </c>
      <c r="F230" s="1">
        <v>45441</v>
      </c>
      <c r="G230" t="s">
        <v>747</v>
      </c>
      <c r="H230" t="s">
        <v>29</v>
      </c>
      <c r="I230" t="s">
        <v>748</v>
      </c>
      <c r="J230" t="s">
        <v>31</v>
      </c>
    </row>
    <row r="231" spans="1:10" x14ac:dyDescent="0.3">
      <c r="A231">
        <v>1070</v>
      </c>
      <c r="B231" t="s">
        <v>749</v>
      </c>
      <c r="C231">
        <v>54</v>
      </c>
      <c r="D231" t="s">
        <v>23</v>
      </c>
      <c r="E231" s="2">
        <v>45831</v>
      </c>
      <c r="F231" s="2">
        <v>45528</v>
      </c>
      <c r="G231" t="s">
        <v>750</v>
      </c>
      <c r="H231" t="s">
        <v>25</v>
      </c>
      <c r="I231" t="s">
        <v>751</v>
      </c>
      <c r="J231">
        <v>0</v>
      </c>
    </row>
    <row r="232" spans="1:10" x14ac:dyDescent="0.3">
      <c r="A232">
        <v>1097</v>
      </c>
      <c r="B232" t="s">
        <v>752</v>
      </c>
      <c r="C232">
        <v>52</v>
      </c>
      <c r="D232" t="s">
        <v>76</v>
      </c>
      <c r="E232" s="2">
        <v>46031</v>
      </c>
      <c r="F232" s="1">
        <v>45816</v>
      </c>
      <c r="G232" t="s">
        <v>753</v>
      </c>
      <c r="H232" t="s">
        <v>25</v>
      </c>
      <c r="I232" t="s">
        <v>754</v>
      </c>
      <c r="J232" t="s">
        <v>39</v>
      </c>
    </row>
    <row r="233" spans="1:10" x14ac:dyDescent="0.3">
      <c r="A233">
        <v>1056</v>
      </c>
      <c r="B233" t="s">
        <v>755</v>
      </c>
      <c r="C233">
        <v>70</v>
      </c>
      <c r="D233" t="s">
        <v>41</v>
      </c>
      <c r="E233" t="s">
        <v>756</v>
      </c>
      <c r="F233" s="1">
        <v>45882</v>
      </c>
      <c r="G233" t="s">
        <v>757</v>
      </c>
      <c r="H233" t="s">
        <v>29</v>
      </c>
      <c r="I233" t="s">
        <v>758</v>
      </c>
      <c r="J233" t="s">
        <v>21</v>
      </c>
    </row>
    <row r="234" spans="1:10" x14ac:dyDescent="0.3">
      <c r="A234">
        <v>1078</v>
      </c>
      <c r="B234" t="s">
        <v>759</v>
      </c>
      <c r="C234">
        <v>56</v>
      </c>
      <c r="D234" t="s">
        <v>11</v>
      </c>
      <c r="E234" s="1">
        <v>45743</v>
      </c>
      <c r="F234" s="2">
        <v>45432</v>
      </c>
      <c r="G234" t="s">
        <v>760</v>
      </c>
      <c r="H234" t="s">
        <v>19</v>
      </c>
      <c r="I234" t="s">
        <v>761</v>
      </c>
      <c r="J234">
        <v>1</v>
      </c>
    </row>
    <row r="235" spans="1:10" x14ac:dyDescent="0.3">
      <c r="A235">
        <v>1031</v>
      </c>
      <c r="B235" t="s">
        <v>762</v>
      </c>
      <c r="C235">
        <v>29</v>
      </c>
      <c r="D235" t="s">
        <v>41</v>
      </c>
      <c r="E235" s="1">
        <v>45874</v>
      </c>
      <c r="F235" s="2">
        <v>45562</v>
      </c>
      <c r="G235" t="s">
        <v>763</v>
      </c>
      <c r="H235" t="s">
        <v>19</v>
      </c>
      <c r="J235" t="s">
        <v>21</v>
      </c>
    </row>
    <row r="236" spans="1:10" x14ac:dyDescent="0.3">
      <c r="A236">
        <v>1035</v>
      </c>
      <c r="B236" t="s">
        <v>764</v>
      </c>
      <c r="C236">
        <v>80</v>
      </c>
      <c r="D236" t="s">
        <v>56</v>
      </c>
      <c r="E236" s="2">
        <v>45872</v>
      </c>
      <c r="F236" s="1">
        <v>45750</v>
      </c>
      <c r="G236" t="s">
        <v>765</v>
      </c>
      <c r="H236" t="s">
        <v>25</v>
      </c>
      <c r="I236" t="s">
        <v>766</v>
      </c>
      <c r="J236" t="s">
        <v>39</v>
      </c>
    </row>
    <row r="237" spans="1:10" x14ac:dyDescent="0.3">
      <c r="A237">
        <v>1079</v>
      </c>
      <c r="B237" t="s">
        <v>767</v>
      </c>
      <c r="C237">
        <v>24</v>
      </c>
      <c r="D237" t="s">
        <v>23</v>
      </c>
      <c r="E237" t="s">
        <v>768</v>
      </c>
      <c r="F237" t="s">
        <v>769</v>
      </c>
      <c r="G237" t="s">
        <v>770</v>
      </c>
      <c r="H237" t="s">
        <v>13</v>
      </c>
      <c r="I237" t="s">
        <v>771</v>
      </c>
      <c r="J237" t="s">
        <v>65</v>
      </c>
    </row>
    <row r="238" spans="1:10" x14ac:dyDescent="0.3">
      <c r="A238">
        <v>1062</v>
      </c>
      <c r="B238" t="s">
        <v>772</v>
      </c>
      <c r="C238">
        <v>20</v>
      </c>
      <c r="D238" t="s">
        <v>23</v>
      </c>
      <c r="E238" s="1">
        <v>45823</v>
      </c>
      <c r="F238" s="1">
        <v>45965</v>
      </c>
      <c r="G238" t="s">
        <v>773</v>
      </c>
      <c r="H238" t="s">
        <v>13</v>
      </c>
      <c r="I238" t="s">
        <v>774</v>
      </c>
      <c r="J238">
        <v>1</v>
      </c>
    </row>
    <row r="239" spans="1:10" x14ac:dyDescent="0.3">
      <c r="A239">
        <v>1006</v>
      </c>
      <c r="B239" t="s">
        <v>775</v>
      </c>
      <c r="C239">
        <v>56</v>
      </c>
      <c r="D239">
        <v>0</v>
      </c>
      <c r="E239" s="2">
        <v>46056</v>
      </c>
      <c r="F239" t="s">
        <v>776</v>
      </c>
      <c r="G239" t="s">
        <v>777</v>
      </c>
      <c r="H239" t="s">
        <v>29</v>
      </c>
      <c r="I239" t="s">
        <v>778</v>
      </c>
      <c r="J239">
        <v>1</v>
      </c>
    </row>
    <row r="240" spans="1:10" x14ac:dyDescent="0.3">
      <c r="A240">
        <v>1034</v>
      </c>
      <c r="B240" t="s">
        <v>779</v>
      </c>
      <c r="C240">
        <v>60</v>
      </c>
      <c r="D240" t="s">
        <v>11</v>
      </c>
      <c r="E240" s="1">
        <v>46327</v>
      </c>
      <c r="F240" s="2">
        <v>45863</v>
      </c>
      <c r="G240" t="s">
        <v>780</v>
      </c>
      <c r="H240" t="s">
        <v>25</v>
      </c>
      <c r="J240">
        <v>0</v>
      </c>
    </row>
    <row r="241" spans="1:10" x14ac:dyDescent="0.3">
      <c r="A241">
        <v>1021</v>
      </c>
      <c r="B241" t="s">
        <v>781</v>
      </c>
      <c r="C241">
        <v>51</v>
      </c>
      <c r="D241" t="s">
        <v>56</v>
      </c>
      <c r="E241" s="1">
        <v>46018</v>
      </c>
      <c r="F241" s="1">
        <v>45962</v>
      </c>
      <c r="G241" t="s">
        <v>782</v>
      </c>
      <c r="H241" t="s">
        <v>29</v>
      </c>
      <c r="I241" t="s">
        <v>783</v>
      </c>
      <c r="J241" t="s">
        <v>65</v>
      </c>
    </row>
    <row r="242" spans="1:10" x14ac:dyDescent="0.3">
      <c r="A242">
        <v>1089</v>
      </c>
      <c r="B242" t="s">
        <v>784</v>
      </c>
      <c r="C242">
        <v>72</v>
      </c>
      <c r="D242" t="s">
        <v>11</v>
      </c>
      <c r="E242" s="2">
        <v>46017</v>
      </c>
      <c r="F242" s="2">
        <v>45509</v>
      </c>
      <c r="G242" t="s">
        <v>785</v>
      </c>
      <c r="H242" t="s">
        <v>25</v>
      </c>
      <c r="I242" t="s">
        <v>786</v>
      </c>
      <c r="J242" t="s">
        <v>39</v>
      </c>
    </row>
    <row r="243" spans="1:10" x14ac:dyDescent="0.3">
      <c r="A243">
        <v>1054</v>
      </c>
      <c r="B243" t="s">
        <v>787</v>
      </c>
      <c r="C243">
        <v>74</v>
      </c>
      <c r="D243">
        <v>0</v>
      </c>
      <c r="E243" s="1">
        <v>46068</v>
      </c>
      <c r="F243" s="2">
        <v>45807</v>
      </c>
      <c r="G243" t="s">
        <v>788</v>
      </c>
      <c r="H243" t="s">
        <v>25</v>
      </c>
      <c r="I243" t="s">
        <v>789</v>
      </c>
      <c r="J243">
        <v>0</v>
      </c>
    </row>
    <row r="244" spans="1:10" x14ac:dyDescent="0.3">
      <c r="A244">
        <v>1026</v>
      </c>
      <c r="B244" t="s">
        <v>790</v>
      </c>
      <c r="C244">
        <v>80</v>
      </c>
      <c r="D244" t="s">
        <v>76</v>
      </c>
      <c r="E244" s="1">
        <v>45774</v>
      </c>
      <c r="F244" t="s">
        <v>791</v>
      </c>
      <c r="G244" t="s">
        <v>792</v>
      </c>
      <c r="H244" t="s">
        <v>29</v>
      </c>
      <c r="I244" t="s">
        <v>793</v>
      </c>
      <c r="J244" t="s">
        <v>21</v>
      </c>
    </row>
    <row r="245" spans="1:10" x14ac:dyDescent="0.3">
      <c r="A245">
        <v>1015</v>
      </c>
      <c r="B245" t="s">
        <v>794</v>
      </c>
      <c r="C245">
        <v>53</v>
      </c>
      <c r="D245">
        <v>0</v>
      </c>
      <c r="E245" s="1">
        <v>45726</v>
      </c>
      <c r="F245" s="2">
        <v>45839</v>
      </c>
      <c r="G245" t="s">
        <v>795</v>
      </c>
      <c r="H245" t="s">
        <v>19</v>
      </c>
      <c r="I245" t="s">
        <v>796</v>
      </c>
      <c r="J245">
        <v>0</v>
      </c>
    </row>
    <row r="246" spans="1:10" x14ac:dyDescent="0.3">
      <c r="A246">
        <v>1015</v>
      </c>
      <c r="B246" t="s">
        <v>797</v>
      </c>
      <c r="C246">
        <v>88</v>
      </c>
      <c r="E246" t="s">
        <v>798</v>
      </c>
      <c r="F246" s="1">
        <v>45783</v>
      </c>
      <c r="G246" t="s">
        <v>799</v>
      </c>
      <c r="H246" t="s">
        <v>19</v>
      </c>
      <c r="I246" t="s">
        <v>800</v>
      </c>
      <c r="J246">
        <v>1</v>
      </c>
    </row>
    <row r="247" spans="1:10" x14ac:dyDescent="0.3">
      <c r="A247">
        <v>1060</v>
      </c>
      <c r="B247" t="s">
        <v>801</v>
      </c>
      <c r="C247">
        <v>51</v>
      </c>
      <c r="D247" t="s">
        <v>11</v>
      </c>
      <c r="E247" s="1">
        <v>45844</v>
      </c>
      <c r="F247" t="s">
        <v>802</v>
      </c>
      <c r="G247" t="s">
        <v>803</v>
      </c>
      <c r="H247" t="s">
        <v>29</v>
      </c>
      <c r="I247" t="s">
        <v>804</v>
      </c>
      <c r="J247" t="s">
        <v>21</v>
      </c>
    </row>
    <row r="248" spans="1:10" x14ac:dyDescent="0.3">
      <c r="A248">
        <v>1003</v>
      </c>
      <c r="B248" t="s">
        <v>805</v>
      </c>
      <c r="C248">
        <v>77</v>
      </c>
      <c r="D248" t="s">
        <v>76</v>
      </c>
      <c r="E248" s="2">
        <v>45811</v>
      </c>
      <c r="F248" s="1">
        <v>45430</v>
      </c>
      <c r="G248" t="s">
        <v>806</v>
      </c>
      <c r="H248" t="s">
        <v>19</v>
      </c>
      <c r="I248" t="s">
        <v>807</v>
      </c>
      <c r="J248">
        <v>1</v>
      </c>
    </row>
    <row r="249" spans="1:10" x14ac:dyDescent="0.3">
      <c r="A249">
        <v>1022</v>
      </c>
      <c r="B249" t="s">
        <v>808</v>
      </c>
      <c r="C249">
        <v>24</v>
      </c>
      <c r="D249" t="s">
        <v>41</v>
      </c>
      <c r="E249" t="s">
        <v>809</v>
      </c>
      <c r="F249" s="1">
        <v>45787</v>
      </c>
      <c r="G249" t="s">
        <v>810</v>
      </c>
      <c r="H249" t="s">
        <v>25</v>
      </c>
      <c r="I249" t="s">
        <v>811</v>
      </c>
      <c r="J249" t="s">
        <v>39</v>
      </c>
    </row>
    <row r="250" spans="1:10" x14ac:dyDescent="0.3">
      <c r="A250">
        <v>1093</v>
      </c>
      <c r="B250" t="s">
        <v>812</v>
      </c>
      <c r="C250">
        <v>31</v>
      </c>
      <c r="E250" s="2">
        <v>45804</v>
      </c>
      <c r="F250" s="2">
        <v>45646</v>
      </c>
      <c r="G250" t="s">
        <v>813</v>
      </c>
      <c r="H250" t="s">
        <v>29</v>
      </c>
      <c r="I250" t="s">
        <v>814</v>
      </c>
      <c r="J250">
        <v>0</v>
      </c>
    </row>
    <row r="251" spans="1:10" x14ac:dyDescent="0.3">
      <c r="A251">
        <v>1089</v>
      </c>
      <c r="B251" t="s">
        <v>815</v>
      </c>
      <c r="C251">
        <v>47</v>
      </c>
      <c r="D251" t="s">
        <v>11</v>
      </c>
      <c r="E251" s="1">
        <v>46064</v>
      </c>
      <c r="F251" s="2">
        <v>45702</v>
      </c>
      <c r="G251" t="s">
        <v>816</v>
      </c>
      <c r="H251" t="s">
        <v>13</v>
      </c>
      <c r="I251" t="s">
        <v>817</v>
      </c>
      <c r="J251" t="s">
        <v>31</v>
      </c>
    </row>
    <row r="252" spans="1:10" x14ac:dyDescent="0.3">
      <c r="A252">
        <v>1094</v>
      </c>
      <c r="B252" t="s">
        <v>818</v>
      </c>
      <c r="C252">
        <v>74</v>
      </c>
      <c r="D252">
        <v>1</v>
      </c>
      <c r="E252" t="s">
        <v>819</v>
      </c>
      <c r="F252" t="s">
        <v>820</v>
      </c>
      <c r="G252" t="s">
        <v>821</v>
      </c>
      <c r="H252" t="s">
        <v>13</v>
      </c>
      <c r="I252" t="s">
        <v>822</v>
      </c>
      <c r="J252">
        <v>1</v>
      </c>
    </row>
    <row r="253" spans="1:10" x14ac:dyDescent="0.3">
      <c r="A253">
        <v>1016</v>
      </c>
      <c r="B253" t="s">
        <v>823</v>
      </c>
      <c r="C253">
        <v>36</v>
      </c>
      <c r="D253" t="s">
        <v>16</v>
      </c>
      <c r="E253" s="2">
        <v>45996</v>
      </c>
      <c r="F253" s="2">
        <v>45458</v>
      </c>
      <c r="G253" t="s">
        <v>824</v>
      </c>
      <c r="H253" t="s">
        <v>25</v>
      </c>
      <c r="I253" t="s">
        <v>825</v>
      </c>
      <c r="J253" t="s">
        <v>65</v>
      </c>
    </row>
    <row r="254" spans="1:10" x14ac:dyDescent="0.3">
      <c r="A254">
        <v>1045</v>
      </c>
      <c r="B254" t="s">
        <v>826</v>
      </c>
      <c r="C254">
        <v>34</v>
      </c>
      <c r="D254" t="s">
        <v>16</v>
      </c>
      <c r="E254" t="s">
        <v>827</v>
      </c>
      <c r="F254" s="2">
        <v>45431</v>
      </c>
      <c r="G254" t="s">
        <v>828</v>
      </c>
      <c r="H254" t="s">
        <v>13</v>
      </c>
      <c r="I254" t="s">
        <v>829</v>
      </c>
      <c r="J254" t="s">
        <v>65</v>
      </c>
    </row>
    <row r="255" spans="1:10" x14ac:dyDescent="0.3">
      <c r="A255">
        <v>1036</v>
      </c>
      <c r="B255" t="s">
        <v>830</v>
      </c>
      <c r="C255">
        <v>29</v>
      </c>
      <c r="D255">
        <v>1</v>
      </c>
      <c r="E255" s="2">
        <v>46050</v>
      </c>
      <c r="F255" s="1">
        <v>45363</v>
      </c>
      <c r="G255" t="s">
        <v>831</v>
      </c>
      <c r="H255" t="s">
        <v>25</v>
      </c>
      <c r="I255" t="s">
        <v>832</v>
      </c>
      <c r="J255" t="s">
        <v>31</v>
      </c>
    </row>
    <row r="256" spans="1:10" x14ac:dyDescent="0.3">
      <c r="A256">
        <v>1031</v>
      </c>
      <c r="B256" t="s">
        <v>833</v>
      </c>
      <c r="C256">
        <v>42</v>
      </c>
      <c r="D256" t="s">
        <v>16</v>
      </c>
      <c r="E256" s="1">
        <v>45874</v>
      </c>
      <c r="F256" s="2">
        <v>45865</v>
      </c>
      <c r="G256" t="s">
        <v>834</v>
      </c>
      <c r="H256" t="s">
        <v>19</v>
      </c>
      <c r="I256" t="s">
        <v>835</v>
      </c>
      <c r="J256" t="s">
        <v>31</v>
      </c>
    </row>
    <row r="257" spans="1:10" x14ac:dyDescent="0.3">
      <c r="A257">
        <v>1097</v>
      </c>
      <c r="B257" t="s">
        <v>836</v>
      </c>
      <c r="C257">
        <v>35</v>
      </c>
      <c r="E257" s="2">
        <v>45766</v>
      </c>
      <c r="F257" s="1">
        <v>45758</v>
      </c>
      <c r="G257" t="s">
        <v>837</v>
      </c>
      <c r="H257" t="s">
        <v>13</v>
      </c>
      <c r="I257" t="s">
        <v>838</v>
      </c>
      <c r="J257" t="s">
        <v>65</v>
      </c>
    </row>
    <row r="258" spans="1:10" x14ac:dyDescent="0.3">
      <c r="A258">
        <v>1062</v>
      </c>
      <c r="B258" t="s">
        <v>839</v>
      </c>
      <c r="C258">
        <v>25</v>
      </c>
      <c r="D258" t="s">
        <v>56</v>
      </c>
      <c r="E258" s="2">
        <v>45936</v>
      </c>
      <c r="F258" t="s">
        <v>840</v>
      </c>
      <c r="G258" t="s">
        <v>841</v>
      </c>
      <c r="H258" t="s">
        <v>13</v>
      </c>
      <c r="I258" t="s">
        <v>842</v>
      </c>
      <c r="J258">
        <v>0</v>
      </c>
    </row>
    <row r="259" spans="1:10" x14ac:dyDescent="0.3">
      <c r="A259">
        <v>1056</v>
      </c>
      <c r="B259" t="s">
        <v>843</v>
      </c>
      <c r="C259">
        <v>57</v>
      </c>
      <c r="D259" t="s">
        <v>11</v>
      </c>
      <c r="E259" s="1">
        <v>45828</v>
      </c>
      <c r="F259" s="2">
        <v>45701</v>
      </c>
      <c r="G259" t="s">
        <v>844</v>
      </c>
      <c r="H259" t="s">
        <v>25</v>
      </c>
      <c r="I259" t="s">
        <v>845</v>
      </c>
      <c r="J259">
        <v>1</v>
      </c>
    </row>
    <row r="260" spans="1:10" x14ac:dyDescent="0.3">
      <c r="A260">
        <v>1058</v>
      </c>
      <c r="B260" t="s">
        <v>846</v>
      </c>
      <c r="C260">
        <v>19</v>
      </c>
      <c r="D260">
        <v>1</v>
      </c>
      <c r="E260" s="1">
        <v>45966</v>
      </c>
      <c r="F260" s="1">
        <v>45749</v>
      </c>
      <c r="G260" t="s">
        <v>847</v>
      </c>
      <c r="H260" t="s">
        <v>25</v>
      </c>
      <c r="I260" t="s">
        <v>848</v>
      </c>
      <c r="J260" t="s">
        <v>39</v>
      </c>
    </row>
    <row r="261" spans="1:10" x14ac:dyDescent="0.3">
      <c r="A261">
        <v>1053</v>
      </c>
      <c r="B261" t="s">
        <v>849</v>
      </c>
      <c r="C261">
        <v>30</v>
      </c>
      <c r="D261" t="s">
        <v>11</v>
      </c>
      <c r="E261" s="1">
        <v>46105</v>
      </c>
      <c r="F261" s="2">
        <v>45377</v>
      </c>
      <c r="G261" t="s">
        <v>850</v>
      </c>
      <c r="H261" t="s">
        <v>29</v>
      </c>
      <c r="I261" t="s">
        <v>851</v>
      </c>
      <c r="J261">
        <v>0</v>
      </c>
    </row>
    <row r="262" spans="1:10" x14ac:dyDescent="0.3">
      <c r="A262">
        <v>1032</v>
      </c>
      <c r="B262" t="s">
        <v>852</v>
      </c>
      <c r="C262">
        <v>43</v>
      </c>
      <c r="D262" t="s">
        <v>16</v>
      </c>
      <c r="E262" t="s">
        <v>853</v>
      </c>
      <c r="F262" s="1">
        <v>45682</v>
      </c>
      <c r="G262" t="s">
        <v>854</v>
      </c>
      <c r="H262" t="s">
        <v>25</v>
      </c>
      <c r="I262" t="s">
        <v>855</v>
      </c>
      <c r="J262">
        <v>0</v>
      </c>
    </row>
    <row r="263" spans="1:10" x14ac:dyDescent="0.3">
      <c r="A263">
        <v>1049</v>
      </c>
      <c r="B263" t="s">
        <v>856</v>
      </c>
      <c r="C263">
        <v>79</v>
      </c>
      <c r="D263">
        <v>1</v>
      </c>
      <c r="E263" s="2">
        <v>45997</v>
      </c>
      <c r="F263" s="1">
        <v>45544</v>
      </c>
      <c r="G263" t="s">
        <v>857</v>
      </c>
      <c r="H263" t="s">
        <v>25</v>
      </c>
      <c r="J263" t="s">
        <v>31</v>
      </c>
    </row>
    <row r="264" spans="1:10" x14ac:dyDescent="0.3">
      <c r="A264">
        <v>1068</v>
      </c>
      <c r="B264" t="s">
        <v>858</v>
      </c>
      <c r="C264">
        <v>61</v>
      </c>
      <c r="D264" t="s">
        <v>76</v>
      </c>
      <c r="E264" s="1">
        <v>45950</v>
      </c>
      <c r="F264" s="2">
        <v>45876</v>
      </c>
      <c r="G264" t="s">
        <v>859</v>
      </c>
      <c r="H264" t="s">
        <v>25</v>
      </c>
      <c r="I264" t="s">
        <v>860</v>
      </c>
      <c r="J264" t="s">
        <v>65</v>
      </c>
    </row>
    <row r="265" spans="1:10" x14ac:dyDescent="0.3">
      <c r="A265">
        <v>1015</v>
      </c>
      <c r="B265" t="s">
        <v>861</v>
      </c>
      <c r="C265">
        <v>53</v>
      </c>
      <c r="D265" t="s">
        <v>56</v>
      </c>
      <c r="E265" s="1">
        <v>45768</v>
      </c>
      <c r="F265" s="2">
        <v>45529</v>
      </c>
      <c r="G265" t="s">
        <v>862</v>
      </c>
      <c r="H265" t="s">
        <v>29</v>
      </c>
      <c r="I265" t="s">
        <v>863</v>
      </c>
      <c r="J265" t="s">
        <v>31</v>
      </c>
    </row>
    <row r="266" spans="1:10" x14ac:dyDescent="0.3">
      <c r="A266">
        <v>1090</v>
      </c>
      <c r="B266" t="s">
        <v>864</v>
      </c>
      <c r="C266">
        <v>70</v>
      </c>
      <c r="D266" t="s">
        <v>41</v>
      </c>
      <c r="E266" s="2">
        <v>46000</v>
      </c>
      <c r="F266" t="s">
        <v>865</v>
      </c>
      <c r="G266" t="s">
        <v>866</v>
      </c>
      <c r="H266" t="s">
        <v>19</v>
      </c>
      <c r="I266" t="s">
        <v>867</v>
      </c>
      <c r="J266" t="s">
        <v>21</v>
      </c>
    </row>
    <row r="267" spans="1:10" x14ac:dyDescent="0.3">
      <c r="A267">
        <v>1086</v>
      </c>
      <c r="B267" t="s">
        <v>868</v>
      </c>
      <c r="C267">
        <v>72</v>
      </c>
      <c r="D267">
        <v>0</v>
      </c>
      <c r="E267" s="1">
        <v>46298</v>
      </c>
      <c r="F267" s="2">
        <v>45952</v>
      </c>
      <c r="G267" t="s">
        <v>869</v>
      </c>
      <c r="H267" t="s">
        <v>19</v>
      </c>
      <c r="I267" t="s">
        <v>870</v>
      </c>
      <c r="J267">
        <v>0</v>
      </c>
    </row>
    <row r="268" spans="1:10" x14ac:dyDescent="0.3">
      <c r="A268">
        <v>1088</v>
      </c>
      <c r="B268" t="s">
        <v>871</v>
      </c>
      <c r="C268">
        <v>49</v>
      </c>
      <c r="D268" t="s">
        <v>41</v>
      </c>
      <c r="E268" s="2">
        <v>45915</v>
      </c>
      <c r="F268" s="1">
        <v>45687</v>
      </c>
      <c r="G268" t="s">
        <v>872</v>
      </c>
      <c r="H268" t="s">
        <v>29</v>
      </c>
      <c r="I268" t="s">
        <v>873</v>
      </c>
      <c r="J268" t="s">
        <v>21</v>
      </c>
    </row>
    <row r="269" spans="1:10" x14ac:dyDescent="0.3">
      <c r="A269">
        <v>1034</v>
      </c>
      <c r="B269" t="s">
        <v>874</v>
      </c>
      <c r="C269">
        <v>44</v>
      </c>
      <c r="E269" s="2">
        <v>45854</v>
      </c>
      <c r="F269" s="1">
        <v>45997</v>
      </c>
      <c r="G269" t="s">
        <v>875</v>
      </c>
      <c r="H269" t="s">
        <v>25</v>
      </c>
      <c r="I269" t="s">
        <v>876</v>
      </c>
      <c r="J269" t="s">
        <v>39</v>
      </c>
    </row>
    <row r="270" spans="1:10" x14ac:dyDescent="0.3">
      <c r="A270">
        <v>1070</v>
      </c>
      <c r="B270" t="s">
        <v>877</v>
      </c>
      <c r="C270">
        <v>68</v>
      </c>
      <c r="D270" t="s">
        <v>11</v>
      </c>
      <c r="E270" s="1">
        <v>45807</v>
      </c>
      <c r="F270" s="1">
        <v>45426</v>
      </c>
      <c r="G270" t="s">
        <v>878</v>
      </c>
      <c r="H270" t="s">
        <v>29</v>
      </c>
      <c r="I270" t="s">
        <v>879</v>
      </c>
      <c r="J270" t="s">
        <v>39</v>
      </c>
    </row>
    <row r="271" spans="1:10" x14ac:dyDescent="0.3">
      <c r="A271">
        <v>1032</v>
      </c>
      <c r="B271" t="s">
        <v>880</v>
      </c>
      <c r="C271">
        <v>88</v>
      </c>
      <c r="D271" t="s">
        <v>23</v>
      </c>
      <c r="E271" t="s">
        <v>881</v>
      </c>
      <c r="F271" s="2">
        <v>45389</v>
      </c>
      <c r="G271" t="s">
        <v>882</v>
      </c>
      <c r="H271" t="s">
        <v>29</v>
      </c>
      <c r="I271" t="s">
        <v>883</v>
      </c>
      <c r="J271" t="s">
        <v>31</v>
      </c>
    </row>
    <row r="272" spans="1:10" x14ac:dyDescent="0.3">
      <c r="A272">
        <v>1036</v>
      </c>
      <c r="B272" t="s">
        <v>884</v>
      </c>
      <c r="C272">
        <v>75</v>
      </c>
      <c r="D272">
        <v>1</v>
      </c>
      <c r="E272" s="2">
        <v>46076</v>
      </c>
      <c r="F272" t="s">
        <v>885</v>
      </c>
      <c r="G272" t="s">
        <v>886</v>
      </c>
      <c r="H272" t="s">
        <v>13</v>
      </c>
      <c r="I272" t="s">
        <v>887</v>
      </c>
      <c r="J272" t="s">
        <v>65</v>
      </c>
    </row>
    <row r="273" spans="1:10" x14ac:dyDescent="0.3">
      <c r="A273">
        <v>1098</v>
      </c>
      <c r="B273" t="s">
        <v>888</v>
      </c>
      <c r="C273">
        <v>88</v>
      </c>
      <c r="D273" t="s">
        <v>41</v>
      </c>
      <c r="E273" s="2">
        <v>46067</v>
      </c>
      <c r="F273" s="1">
        <v>45653</v>
      </c>
      <c r="G273" t="s">
        <v>889</v>
      </c>
      <c r="H273" t="s">
        <v>19</v>
      </c>
      <c r="I273" t="s">
        <v>890</v>
      </c>
      <c r="J273">
        <v>0</v>
      </c>
    </row>
    <row r="274" spans="1:10" x14ac:dyDescent="0.3">
      <c r="A274">
        <v>1071</v>
      </c>
      <c r="B274" t="s">
        <v>891</v>
      </c>
      <c r="C274">
        <v>49</v>
      </c>
      <c r="D274" t="s">
        <v>76</v>
      </c>
      <c r="E274" s="1">
        <v>45801</v>
      </c>
      <c r="F274" s="2">
        <v>45636</v>
      </c>
      <c r="G274" t="s">
        <v>892</v>
      </c>
      <c r="H274" t="s">
        <v>19</v>
      </c>
      <c r="I274" t="s">
        <v>893</v>
      </c>
      <c r="J274" t="s">
        <v>65</v>
      </c>
    </row>
    <row r="275" spans="1:10" x14ac:dyDescent="0.3">
      <c r="A275">
        <v>1054</v>
      </c>
      <c r="B275" t="s">
        <v>894</v>
      </c>
      <c r="C275">
        <v>82</v>
      </c>
      <c r="D275">
        <v>1</v>
      </c>
      <c r="E275" s="2">
        <v>45984</v>
      </c>
      <c r="F275" s="1">
        <v>45633</v>
      </c>
      <c r="G275" t="s">
        <v>895</v>
      </c>
      <c r="H275" t="s">
        <v>13</v>
      </c>
      <c r="I275" t="s">
        <v>896</v>
      </c>
      <c r="J275" t="s">
        <v>39</v>
      </c>
    </row>
    <row r="276" spans="1:10" x14ac:dyDescent="0.3">
      <c r="A276">
        <v>1054</v>
      </c>
      <c r="B276" t="s">
        <v>897</v>
      </c>
      <c r="C276">
        <v>62</v>
      </c>
      <c r="D276" t="s">
        <v>76</v>
      </c>
      <c r="E276" t="s">
        <v>768</v>
      </c>
      <c r="F276" t="s">
        <v>898</v>
      </c>
      <c r="G276" t="s">
        <v>899</v>
      </c>
      <c r="H276" t="s">
        <v>19</v>
      </c>
      <c r="J276" t="s">
        <v>31</v>
      </c>
    </row>
    <row r="277" spans="1:10" x14ac:dyDescent="0.3">
      <c r="A277">
        <v>1090</v>
      </c>
      <c r="B277" t="s">
        <v>900</v>
      </c>
      <c r="C277">
        <v>55</v>
      </c>
      <c r="D277">
        <v>0</v>
      </c>
      <c r="E277" s="2">
        <v>45921</v>
      </c>
      <c r="F277" s="2">
        <v>45461</v>
      </c>
      <c r="G277" t="s">
        <v>901</v>
      </c>
      <c r="H277" t="s">
        <v>19</v>
      </c>
      <c r="I277" t="s">
        <v>902</v>
      </c>
      <c r="J277">
        <v>0</v>
      </c>
    </row>
    <row r="278" spans="1:10" x14ac:dyDescent="0.3">
      <c r="A278">
        <v>1027</v>
      </c>
      <c r="B278" t="s">
        <v>903</v>
      </c>
      <c r="C278">
        <v>83</v>
      </c>
      <c r="D278">
        <v>1</v>
      </c>
      <c r="E278" s="2">
        <v>45834</v>
      </c>
      <c r="F278" s="1">
        <v>45997</v>
      </c>
      <c r="G278" t="s">
        <v>904</v>
      </c>
      <c r="H278" t="s">
        <v>25</v>
      </c>
      <c r="I278" t="s">
        <v>905</v>
      </c>
      <c r="J278" t="s">
        <v>39</v>
      </c>
    </row>
    <row r="279" spans="1:10" x14ac:dyDescent="0.3">
      <c r="A279">
        <v>1017</v>
      </c>
      <c r="B279" t="s">
        <v>906</v>
      </c>
      <c r="C279">
        <v>86</v>
      </c>
      <c r="D279" t="s">
        <v>16</v>
      </c>
      <c r="E279" s="2">
        <v>45805</v>
      </c>
      <c r="F279" s="1">
        <v>45572</v>
      </c>
      <c r="G279" t="s">
        <v>907</v>
      </c>
      <c r="H279" t="s">
        <v>13</v>
      </c>
      <c r="J279">
        <v>1</v>
      </c>
    </row>
    <row r="280" spans="1:10" x14ac:dyDescent="0.3">
      <c r="A280">
        <v>1027</v>
      </c>
      <c r="B280" t="s">
        <v>908</v>
      </c>
      <c r="C280">
        <v>77</v>
      </c>
      <c r="D280" t="s">
        <v>41</v>
      </c>
      <c r="E280" s="2">
        <v>45919</v>
      </c>
      <c r="F280" s="2">
        <v>45524</v>
      </c>
      <c r="G280" t="s">
        <v>909</v>
      </c>
      <c r="H280" t="s">
        <v>13</v>
      </c>
      <c r="I280" t="s">
        <v>910</v>
      </c>
      <c r="J280" t="s">
        <v>21</v>
      </c>
    </row>
    <row r="281" spans="1:10" x14ac:dyDescent="0.3">
      <c r="A281">
        <v>1026</v>
      </c>
      <c r="B281" t="s">
        <v>911</v>
      </c>
      <c r="C281">
        <v>47</v>
      </c>
      <c r="D281" t="s">
        <v>16</v>
      </c>
      <c r="E281" s="2">
        <v>46028</v>
      </c>
      <c r="F281" s="2">
        <v>45576</v>
      </c>
      <c r="G281" t="s">
        <v>912</v>
      </c>
      <c r="H281" t="s">
        <v>25</v>
      </c>
      <c r="I281" t="s">
        <v>913</v>
      </c>
      <c r="J281" t="s">
        <v>39</v>
      </c>
    </row>
    <row r="282" spans="1:10" x14ac:dyDescent="0.3">
      <c r="A282">
        <v>1080</v>
      </c>
      <c r="B282" t="s">
        <v>914</v>
      </c>
      <c r="C282">
        <v>69</v>
      </c>
      <c r="D282" t="s">
        <v>76</v>
      </c>
      <c r="E282" t="s">
        <v>915</v>
      </c>
      <c r="F282" s="2">
        <v>45819</v>
      </c>
      <c r="G282" t="s">
        <v>916</v>
      </c>
      <c r="H282" t="s">
        <v>29</v>
      </c>
      <c r="I282" t="s">
        <v>917</v>
      </c>
      <c r="J282">
        <v>0</v>
      </c>
    </row>
    <row r="283" spans="1:10" x14ac:dyDescent="0.3">
      <c r="A283">
        <v>1039</v>
      </c>
      <c r="B283" t="s">
        <v>918</v>
      </c>
      <c r="C283">
        <v>40</v>
      </c>
      <c r="D283">
        <v>0</v>
      </c>
      <c r="E283" s="1">
        <v>45725</v>
      </c>
      <c r="F283" s="1">
        <v>45508</v>
      </c>
      <c r="G283" t="s">
        <v>919</v>
      </c>
      <c r="H283" t="s">
        <v>13</v>
      </c>
      <c r="I283" t="s">
        <v>920</v>
      </c>
      <c r="J283" t="s">
        <v>39</v>
      </c>
    </row>
    <row r="284" spans="1:10" x14ac:dyDescent="0.3">
      <c r="A284">
        <v>1059</v>
      </c>
      <c r="B284" t="s">
        <v>921</v>
      </c>
      <c r="C284">
        <v>32</v>
      </c>
      <c r="D284" t="s">
        <v>56</v>
      </c>
      <c r="E284" s="1">
        <v>46092</v>
      </c>
      <c r="F284" s="2">
        <v>45861</v>
      </c>
      <c r="G284" t="s">
        <v>922</v>
      </c>
      <c r="H284" t="s">
        <v>29</v>
      </c>
      <c r="I284" t="s">
        <v>923</v>
      </c>
      <c r="J284" t="s">
        <v>39</v>
      </c>
    </row>
    <row r="285" spans="1:10" x14ac:dyDescent="0.3">
      <c r="A285">
        <v>1043</v>
      </c>
      <c r="B285" t="s">
        <v>924</v>
      </c>
      <c r="C285">
        <v>66</v>
      </c>
      <c r="D285">
        <v>1</v>
      </c>
      <c r="E285" s="1">
        <v>45983</v>
      </c>
      <c r="F285" s="2">
        <v>45907</v>
      </c>
      <c r="G285" t="s">
        <v>925</v>
      </c>
      <c r="H285" t="s">
        <v>25</v>
      </c>
      <c r="I285" t="s">
        <v>926</v>
      </c>
      <c r="J285" t="s">
        <v>39</v>
      </c>
    </row>
    <row r="286" spans="1:10" x14ac:dyDescent="0.3">
      <c r="A286">
        <v>1066</v>
      </c>
      <c r="B286" t="s">
        <v>927</v>
      </c>
      <c r="C286">
        <v>28</v>
      </c>
      <c r="D286" t="s">
        <v>76</v>
      </c>
      <c r="E286" s="2">
        <v>45910</v>
      </c>
      <c r="F286" s="1">
        <v>45768</v>
      </c>
      <c r="G286" t="s">
        <v>928</v>
      </c>
      <c r="H286" t="s">
        <v>13</v>
      </c>
      <c r="I286" t="s">
        <v>929</v>
      </c>
      <c r="J286">
        <v>1</v>
      </c>
    </row>
    <row r="287" spans="1:10" x14ac:dyDescent="0.3">
      <c r="A287">
        <v>1040</v>
      </c>
      <c r="B287" t="s">
        <v>930</v>
      </c>
      <c r="C287">
        <v>35</v>
      </c>
      <c r="D287" t="s">
        <v>23</v>
      </c>
      <c r="E287" s="1">
        <v>45888</v>
      </c>
      <c r="F287" s="2">
        <v>45823</v>
      </c>
      <c r="G287" t="s">
        <v>931</v>
      </c>
      <c r="H287" t="s">
        <v>29</v>
      </c>
      <c r="I287" t="s">
        <v>932</v>
      </c>
      <c r="J287" t="s">
        <v>65</v>
      </c>
    </row>
    <row r="288" spans="1:10" x14ac:dyDescent="0.3">
      <c r="A288">
        <v>1090</v>
      </c>
      <c r="B288" t="s">
        <v>933</v>
      </c>
      <c r="C288">
        <v>25</v>
      </c>
      <c r="D288" t="s">
        <v>41</v>
      </c>
      <c r="E288" t="s">
        <v>934</v>
      </c>
      <c r="F288" t="s">
        <v>935</v>
      </c>
      <c r="G288" t="s">
        <v>936</v>
      </c>
      <c r="H288" t="s">
        <v>29</v>
      </c>
      <c r="I288" t="s">
        <v>937</v>
      </c>
      <c r="J288">
        <v>1</v>
      </c>
    </row>
    <row r="289" spans="1:10" x14ac:dyDescent="0.3">
      <c r="A289">
        <v>1003</v>
      </c>
      <c r="B289" t="s">
        <v>938</v>
      </c>
      <c r="C289">
        <v>81</v>
      </c>
      <c r="D289" t="s">
        <v>11</v>
      </c>
      <c r="E289" s="2">
        <v>45799</v>
      </c>
      <c r="F289" s="1">
        <v>45397</v>
      </c>
      <c r="G289" t="s">
        <v>939</v>
      </c>
      <c r="H289" t="s">
        <v>25</v>
      </c>
      <c r="I289" t="s">
        <v>940</v>
      </c>
      <c r="J289" t="s">
        <v>21</v>
      </c>
    </row>
    <row r="290" spans="1:10" x14ac:dyDescent="0.3">
      <c r="A290">
        <v>1054</v>
      </c>
      <c r="B290" t="s">
        <v>941</v>
      </c>
      <c r="C290">
        <v>30</v>
      </c>
      <c r="D290" t="s">
        <v>56</v>
      </c>
      <c r="E290" s="2">
        <v>46075</v>
      </c>
      <c r="F290" s="1">
        <v>45754</v>
      </c>
      <c r="G290" t="s">
        <v>942</v>
      </c>
      <c r="H290" t="s">
        <v>29</v>
      </c>
      <c r="I290" t="s">
        <v>943</v>
      </c>
      <c r="J290" t="s">
        <v>65</v>
      </c>
    </row>
    <row r="291" spans="1:10" x14ac:dyDescent="0.3">
      <c r="A291">
        <v>1003</v>
      </c>
      <c r="B291" t="s">
        <v>944</v>
      </c>
      <c r="C291">
        <v>41</v>
      </c>
      <c r="D291">
        <v>0</v>
      </c>
      <c r="E291" s="1">
        <v>45791</v>
      </c>
      <c r="F291" s="1">
        <v>45416</v>
      </c>
      <c r="G291" t="s">
        <v>553</v>
      </c>
      <c r="H291" t="s">
        <v>29</v>
      </c>
      <c r="I291" t="s">
        <v>945</v>
      </c>
      <c r="J291" t="s">
        <v>31</v>
      </c>
    </row>
    <row r="292" spans="1:10" x14ac:dyDescent="0.3">
      <c r="A292">
        <v>1011</v>
      </c>
      <c r="B292" t="s">
        <v>946</v>
      </c>
      <c r="C292">
        <v>54</v>
      </c>
      <c r="D292">
        <v>0</v>
      </c>
      <c r="E292" s="2">
        <v>46066</v>
      </c>
      <c r="F292" s="2">
        <v>45602</v>
      </c>
      <c r="G292" t="s">
        <v>947</v>
      </c>
      <c r="H292" t="s">
        <v>19</v>
      </c>
      <c r="I292" t="s">
        <v>948</v>
      </c>
      <c r="J292" t="s">
        <v>65</v>
      </c>
    </row>
    <row r="293" spans="1:10" x14ac:dyDescent="0.3">
      <c r="A293">
        <v>1029</v>
      </c>
      <c r="B293" t="s">
        <v>949</v>
      </c>
      <c r="C293">
        <v>30</v>
      </c>
      <c r="D293" t="s">
        <v>16</v>
      </c>
      <c r="E293" s="1">
        <v>45857</v>
      </c>
      <c r="F293" s="2">
        <v>45789</v>
      </c>
      <c r="G293" t="s">
        <v>950</v>
      </c>
      <c r="H293" t="s">
        <v>19</v>
      </c>
      <c r="I293" t="s">
        <v>951</v>
      </c>
      <c r="J293" t="s">
        <v>65</v>
      </c>
    </row>
    <row r="294" spans="1:10" x14ac:dyDescent="0.3">
      <c r="A294">
        <v>1051</v>
      </c>
      <c r="B294" t="s">
        <v>952</v>
      </c>
      <c r="C294">
        <v>53</v>
      </c>
      <c r="D294">
        <v>0</v>
      </c>
      <c r="E294" s="2">
        <v>45837</v>
      </c>
      <c r="F294" s="2">
        <v>45548</v>
      </c>
      <c r="G294" t="s">
        <v>953</v>
      </c>
      <c r="H294" t="s">
        <v>25</v>
      </c>
      <c r="I294" t="s">
        <v>954</v>
      </c>
      <c r="J294" t="s">
        <v>31</v>
      </c>
    </row>
    <row r="295" spans="1:10" x14ac:dyDescent="0.3">
      <c r="A295">
        <v>1041</v>
      </c>
      <c r="B295" t="s">
        <v>955</v>
      </c>
      <c r="C295">
        <v>65</v>
      </c>
      <c r="D295">
        <v>1</v>
      </c>
      <c r="E295" s="1">
        <v>45958</v>
      </c>
      <c r="F295" s="2">
        <v>45887</v>
      </c>
      <c r="G295" t="s">
        <v>956</v>
      </c>
      <c r="H295" t="s">
        <v>25</v>
      </c>
      <c r="I295" t="s">
        <v>957</v>
      </c>
      <c r="J295" t="s">
        <v>65</v>
      </c>
    </row>
    <row r="296" spans="1:10" x14ac:dyDescent="0.3">
      <c r="A296">
        <v>1004</v>
      </c>
      <c r="B296" t="s">
        <v>958</v>
      </c>
      <c r="C296">
        <v>64</v>
      </c>
      <c r="E296" s="1">
        <v>46359</v>
      </c>
      <c r="F296" s="2">
        <v>45447</v>
      </c>
      <c r="G296" t="s">
        <v>959</v>
      </c>
      <c r="H296" t="s">
        <v>29</v>
      </c>
      <c r="I296" t="s">
        <v>960</v>
      </c>
      <c r="J296">
        <v>1</v>
      </c>
    </row>
    <row r="297" spans="1:10" x14ac:dyDescent="0.3">
      <c r="A297">
        <v>1054</v>
      </c>
      <c r="B297" t="s">
        <v>961</v>
      </c>
      <c r="C297">
        <v>78</v>
      </c>
      <c r="D297" t="s">
        <v>76</v>
      </c>
      <c r="E297" s="1">
        <v>46016</v>
      </c>
      <c r="F297" s="2">
        <v>45639</v>
      </c>
      <c r="G297" t="s">
        <v>962</v>
      </c>
      <c r="H297" t="s">
        <v>25</v>
      </c>
      <c r="I297" t="s">
        <v>963</v>
      </c>
      <c r="J297" t="s">
        <v>31</v>
      </c>
    </row>
    <row r="298" spans="1:10" x14ac:dyDescent="0.3">
      <c r="A298">
        <v>1006</v>
      </c>
      <c r="B298" t="s">
        <v>964</v>
      </c>
      <c r="C298">
        <v>63</v>
      </c>
      <c r="D298" t="s">
        <v>23</v>
      </c>
      <c r="E298" s="1">
        <v>46004</v>
      </c>
      <c r="F298" s="2">
        <v>45721</v>
      </c>
      <c r="G298" t="s">
        <v>965</v>
      </c>
      <c r="H298" t="s">
        <v>25</v>
      </c>
      <c r="I298" t="s">
        <v>966</v>
      </c>
      <c r="J298" t="s">
        <v>65</v>
      </c>
    </row>
    <row r="299" spans="1:10" x14ac:dyDescent="0.3">
      <c r="A299">
        <v>1076</v>
      </c>
      <c r="B299" t="s">
        <v>967</v>
      </c>
      <c r="C299">
        <v>23</v>
      </c>
      <c r="D299" t="s">
        <v>76</v>
      </c>
      <c r="E299" s="1">
        <v>45935</v>
      </c>
      <c r="F299" s="2">
        <v>45736</v>
      </c>
      <c r="G299" t="s">
        <v>968</v>
      </c>
      <c r="H299" t="s">
        <v>29</v>
      </c>
      <c r="J299" t="s">
        <v>31</v>
      </c>
    </row>
    <row r="300" spans="1:10" x14ac:dyDescent="0.3">
      <c r="A300">
        <v>1054</v>
      </c>
      <c r="B300" t="s">
        <v>969</v>
      </c>
      <c r="C300">
        <v>70</v>
      </c>
      <c r="D300">
        <v>0</v>
      </c>
      <c r="E300" s="1">
        <v>45727</v>
      </c>
      <c r="F300" t="s">
        <v>970</v>
      </c>
      <c r="G300" t="s">
        <v>971</v>
      </c>
      <c r="H300" t="s">
        <v>13</v>
      </c>
      <c r="I300" t="s">
        <v>972</v>
      </c>
      <c r="J300" t="s">
        <v>39</v>
      </c>
    </row>
    <row r="301" spans="1:10" x14ac:dyDescent="0.3">
      <c r="A301">
        <v>1021</v>
      </c>
      <c r="B301" t="s">
        <v>973</v>
      </c>
      <c r="C301">
        <v>54</v>
      </c>
      <c r="D301" t="s">
        <v>56</v>
      </c>
      <c r="E301" s="2">
        <v>45920</v>
      </c>
      <c r="F301" s="2">
        <v>45467</v>
      </c>
      <c r="G301" t="s">
        <v>974</v>
      </c>
      <c r="H301" t="s">
        <v>13</v>
      </c>
      <c r="I301" t="s">
        <v>975</v>
      </c>
      <c r="J301">
        <v>0</v>
      </c>
    </row>
    <row r="302" spans="1:10" x14ac:dyDescent="0.3">
      <c r="A302">
        <v>1015</v>
      </c>
      <c r="B302" t="s">
        <v>976</v>
      </c>
      <c r="C302">
        <v>50</v>
      </c>
      <c r="D302">
        <v>0</v>
      </c>
      <c r="E302" s="1">
        <v>45894</v>
      </c>
      <c r="F302" s="2">
        <v>45461</v>
      </c>
      <c r="G302" t="s">
        <v>977</v>
      </c>
      <c r="H302" t="s">
        <v>25</v>
      </c>
      <c r="I302" t="s">
        <v>978</v>
      </c>
      <c r="J302" t="s">
        <v>39</v>
      </c>
    </row>
    <row r="303" spans="1:10" x14ac:dyDescent="0.3">
      <c r="A303">
        <v>1014</v>
      </c>
      <c r="B303" t="s">
        <v>979</v>
      </c>
      <c r="C303">
        <v>79</v>
      </c>
      <c r="D303">
        <v>0</v>
      </c>
      <c r="E303" s="1">
        <v>46050</v>
      </c>
      <c r="F303" s="2">
        <v>45385</v>
      </c>
      <c r="G303" t="s">
        <v>980</v>
      </c>
      <c r="H303" t="s">
        <v>25</v>
      </c>
      <c r="I303" t="s">
        <v>981</v>
      </c>
      <c r="J303" t="s">
        <v>39</v>
      </c>
    </row>
    <row r="304" spans="1:10" x14ac:dyDescent="0.3">
      <c r="A304">
        <v>1088</v>
      </c>
      <c r="B304" t="s">
        <v>982</v>
      </c>
      <c r="C304">
        <v>83</v>
      </c>
      <c r="D304" t="s">
        <v>76</v>
      </c>
      <c r="E304" s="1">
        <v>46082</v>
      </c>
      <c r="F304" s="1">
        <v>45647</v>
      </c>
      <c r="G304" t="s">
        <v>983</v>
      </c>
      <c r="H304" t="s">
        <v>19</v>
      </c>
      <c r="I304" t="s">
        <v>984</v>
      </c>
      <c r="J304" t="s">
        <v>39</v>
      </c>
    </row>
    <row r="305" spans="1:10" x14ac:dyDescent="0.3">
      <c r="A305">
        <v>1034</v>
      </c>
      <c r="B305" t="s">
        <v>985</v>
      </c>
      <c r="C305">
        <v>37</v>
      </c>
      <c r="D305">
        <v>0</v>
      </c>
      <c r="E305" s="2">
        <v>45939</v>
      </c>
      <c r="F305" s="2">
        <v>45752</v>
      </c>
      <c r="G305" t="s">
        <v>986</v>
      </c>
      <c r="H305" t="s">
        <v>25</v>
      </c>
      <c r="I305" t="s">
        <v>987</v>
      </c>
      <c r="J305" t="s">
        <v>65</v>
      </c>
    </row>
    <row r="306" spans="1:10" x14ac:dyDescent="0.3">
      <c r="A306">
        <v>1020</v>
      </c>
      <c r="B306" t="s">
        <v>988</v>
      </c>
      <c r="C306">
        <v>40</v>
      </c>
      <c r="D306" t="s">
        <v>11</v>
      </c>
      <c r="E306" s="2">
        <v>46036</v>
      </c>
      <c r="F306" t="s">
        <v>934</v>
      </c>
      <c r="G306" t="s">
        <v>989</v>
      </c>
      <c r="H306" t="s">
        <v>25</v>
      </c>
      <c r="I306" t="s">
        <v>990</v>
      </c>
      <c r="J306" t="s">
        <v>65</v>
      </c>
    </row>
    <row r="307" spans="1:10" x14ac:dyDescent="0.3">
      <c r="A307">
        <v>1053</v>
      </c>
      <c r="B307" t="s">
        <v>991</v>
      </c>
      <c r="C307">
        <v>76</v>
      </c>
      <c r="D307" t="s">
        <v>76</v>
      </c>
      <c r="E307" t="s">
        <v>992</v>
      </c>
      <c r="F307" s="1">
        <v>45777</v>
      </c>
      <c r="G307" t="s">
        <v>993</v>
      </c>
      <c r="H307" t="s">
        <v>13</v>
      </c>
      <c r="I307" t="s">
        <v>994</v>
      </c>
      <c r="J307">
        <v>0</v>
      </c>
    </row>
    <row r="308" spans="1:10" x14ac:dyDescent="0.3">
      <c r="A308">
        <v>1011</v>
      </c>
      <c r="B308" t="s">
        <v>995</v>
      </c>
      <c r="C308">
        <v>60</v>
      </c>
      <c r="D308" t="s">
        <v>76</v>
      </c>
      <c r="E308" t="s">
        <v>853</v>
      </c>
      <c r="F308" s="1">
        <v>45408</v>
      </c>
      <c r="G308" t="s">
        <v>996</v>
      </c>
      <c r="H308" t="s">
        <v>13</v>
      </c>
      <c r="I308" t="s">
        <v>997</v>
      </c>
      <c r="J308">
        <v>0</v>
      </c>
    </row>
    <row r="309" spans="1:10" x14ac:dyDescent="0.3">
      <c r="A309">
        <v>1074</v>
      </c>
      <c r="B309" t="s">
        <v>998</v>
      </c>
      <c r="C309">
        <v>51</v>
      </c>
      <c r="D309" t="s">
        <v>23</v>
      </c>
      <c r="E309" t="s">
        <v>384</v>
      </c>
      <c r="F309" s="1">
        <v>45764</v>
      </c>
      <c r="G309" t="s">
        <v>999</v>
      </c>
      <c r="H309" t="s">
        <v>29</v>
      </c>
      <c r="I309" t="s">
        <v>1000</v>
      </c>
      <c r="J309" t="s">
        <v>65</v>
      </c>
    </row>
    <row r="310" spans="1:10" x14ac:dyDescent="0.3">
      <c r="A310">
        <v>1051</v>
      </c>
      <c r="B310" t="s">
        <v>1001</v>
      </c>
      <c r="C310">
        <v>52</v>
      </c>
      <c r="D310">
        <v>0</v>
      </c>
      <c r="E310" s="1">
        <v>45907</v>
      </c>
      <c r="F310" t="s">
        <v>1002</v>
      </c>
      <c r="G310" t="s">
        <v>1003</v>
      </c>
      <c r="H310" t="s">
        <v>13</v>
      </c>
      <c r="I310" t="s">
        <v>1004</v>
      </c>
      <c r="J310">
        <v>1</v>
      </c>
    </row>
    <row r="311" spans="1:10" x14ac:dyDescent="0.3">
      <c r="A311">
        <v>1029</v>
      </c>
      <c r="B311" t="s">
        <v>1005</v>
      </c>
      <c r="C311">
        <v>43</v>
      </c>
      <c r="D311" t="s">
        <v>11</v>
      </c>
      <c r="E311" s="2">
        <v>45925</v>
      </c>
      <c r="F311" t="s">
        <v>1006</v>
      </c>
      <c r="G311" t="s">
        <v>1007</v>
      </c>
      <c r="H311" t="s">
        <v>13</v>
      </c>
      <c r="I311" t="s">
        <v>1008</v>
      </c>
      <c r="J311">
        <v>1</v>
      </c>
    </row>
    <row r="312" spans="1:10" x14ac:dyDescent="0.3">
      <c r="A312">
        <v>1043</v>
      </c>
      <c r="B312" t="s">
        <v>1009</v>
      </c>
      <c r="C312">
        <v>38</v>
      </c>
      <c r="D312" t="s">
        <v>76</v>
      </c>
      <c r="E312" s="2">
        <v>46047</v>
      </c>
      <c r="F312" s="2">
        <v>45391</v>
      </c>
      <c r="G312" t="s">
        <v>1010</v>
      </c>
      <c r="H312" t="s">
        <v>25</v>
      </c>
      <c r="I312" t="s">
        <v>1011</v>
      </c>
      <c r="J312" t="s">
        <v>65</v>
      </c>
    </row>
    <row r="313" spans="1:10" x14ac:dyDescent="0.3">
      <c r="A313">
        <v>1095</v>
      </c>
      <c r="B313" t="s">
        <v>1012</v>
      </c>
      <c r="C313">
        <v>84</v>
      </c>
      <c r="D313" t="s">
        <v>16</v>
      </c>
      <c r="E313" s="1">
        <v>46068</v>
      </c>
      <c r="F313" s="2">
        <v>45982</v>
      </c>
      <c r="G313" t="s">
        <v>1013</v>
      </c>
      <c r="H313" t="s">
        <v>19</v>
      </c>
      <c r="I313" t="s">
        <v>1014</v>
      </c>
      <c r="J313" t="s">
        <v>21</v>
      </c>
    </row>
    <row r="314" spans="1:10" x14ac:dyDescent="0.3">
      <c r="A314">
        <v>1080</v>
      </c>
      <c r="B314" t="s">
        <v>1015</v>
      </c>
      <c r="C314">
        <v>40</v>
      </c>
      <c r="D314">
        <v>1</v>
      </c>
      <c r="E314" t="s">
        <v>1016</v>
      </c>
      <c r="F314" s="2">
        <v>45851</v>
      </c>
      <c r="G314" t="s">
        <v>1017</v>
      </c>
      <c r="H314" t="s">
        <v>19</v>
      </c>
      <c r="I314" t="s">
        <v>1018</v>
      </c>
      <c r="J314" t="s">
        <v>39</v>
      </c>
    </row>
    <row r="315" spans="1:10" x14ac:dyDescent="0.3">
      <c r="A315">
        <v>1082</v>
      </c>
      <c r="B315" t="s">
        <v>1019</v>
      </c>
      <c r="C315">
        <v>89</v>
      </c>
      <c r="D315">
        <v>1</v>
      </c>
      <c r="E315" s="2">
        <v>45743</v>
      </c>
      <c r="F315" s="2">
        <v>45642</v>
      </c>
      <c r="G315" t="s">
        <v>1020</v>
      </c>
      <c r="H315" t="s">
        <v>13</v>
      </c>
      <c r="I315" t="s">
        <v>1021</v>
      </c>
      <c r="J315" t="s">
        <v>65</v>
      </c>
    </row>
    <row r="316" spans="1:10" x14ac:dyDescent="0.3">
      <c r="A316">
        <v>1058</v>
      </c>
      <c r="B316" t="s">
        <v>1022</v>
      </c>
      <c r="C316">
        <v>57</v>
      </c>
      <c r="D316">
        <v>0</v>
      </c>
      <c r="E316" s="1">
        <v>45960</v>
      </c>
      <c r="F316" s="2">
        <v>45531</v>
      </c>
      <c r="G316" t="s">
        <v>1023</v>
      </c>
      <c r="H316" t="s">
        <v>25</v>
      </c>
      <c r="I316" t="s">
        <v>1024</v>
      </c>
      <c r="J316" t="s">
        <v>21</v>
      </c>
    </row>
    <row r="317" spans="1:10" x14ac:dyDescent="0.3">
      <c r="A317">
        <v>1088</v>
      </c>
      <c r="B317" t="s">
        <v>1025</v>
      </c>
      <c r="C317">
        <v>26</v>
      </c>
      <c r="D317" t="s">
        <v>11</v>
      </c>
      <c r="E317" s="2">
        <v>46085</v>
      </c>
      <c r="F317" t="s">
        <v>384</v>
      </c>
      <c r="G317" t="s">
        <v>1026</v>
      </c>
      <c r="H317" t="s">
        <v>13</v>
      </c>
      <c r="I317" t="s">
        <v>1027</v>
      </c>
      <c r="J317">
        <v>0</v>
      </c>
    </row>
    <row r="318" spans="1:10" x14ac:dyDescent="0.3">
      <c r="A318">
        <v>1039</v>
      </c>
      <c r="B318" t="s">
        <v>1028</v>
      </c>
      <c r="C318">
        <v>61</v>
      </c>
      <c r="D318">
        <v>0</v>
      </c>
      <c r="E318" s="2">
        <v>45968</v>
      </c>
      <c r="F318" s="1">
        <v>45921</v>
      </c>
      <c r="G318" t="s">
        <v>1029</v>
      </c>
      <c r="H318" t="s">
        <v>29</v>
      </c>
      <c r="I318" t="s">
        <v>1030</v>
      </c>
      <c r="J318">
        <v>0</v>
      </c>
    </row>
    <row r="319" spans="1:10" x14ac:dyDescent="0.3">
      <c r="A319">
        <v>1016</v>
      </c>
      <c r="B319" t="s">
        <v>1031</v>
      </c>
      <c r="C319">
        <v>78</v>
      </c>
      <c r="D319" t="s">
        <v>16</v>
      </c>
      <c r="E319" s="1">
        <v>45798</v>
      </c>
      <c r="F319" s="1">
        <v>45522</v>
      </c>
      <c r="G319" t="s">
        <v>1032</v>
      </c>
      <c r="H319" t="s">
        <v>25</v>
      </c>
      <c r="I319" t="s">
        <v>1033</v>
      </c>
      <c r="J319" t="s">
        <v>21</v>
      </c>
    </row>
    <row r="320" spans="1:10" x14ac:dyDescent="0.3">
      <c r="A320">
        <v>1098</v>
      </c>
      <c r="B320" t="s">
        <v>1034</v>
      </c>
      <c r="C320">
        <v>35</v>
      </c>
      <c r="D320">
        <v>1</v>
      </c>
      <c r="E320" s="2">
        <v>46008</v>
      </c>
      <c r="F320" s="1">
        <v>45409</v>
      </c>
      <c r="G320" t="s">
        <v>1035</v>
      </c>
      <c r="H320" t="s">
        <v>19</v>
      </c>
      <c r="I320" t="s">
        <v>1036</v>
      </c>
      <c r="J320" t="s">
        <v>65</v>
      </c>
    </row>
    <row r="321" spans="1:10" x14ac:dyDescent="0.3">
      <c r="A321">
        <v>1025</v>
      </c>
      <c r="B321" t="s">
        <v>1037</v>
      </c>
      <c r="C321">
        <v>40</v>
      </c>
      <c r="D321" t="s">
        <v>56</v>
      </c>
      <c r="E321" s="1">
        <v>45969</v>
      </c>
      <c r="F321" s="2">
        <v>45506</v>
      </c>
      <c r="G321" t="s">
        <v>1038</v>
      </c>
      <c r="H321" t="s">
        <v>19</v>
      </c>
      <c r="I321" t="s">
        <v>1039</v>
      </c>
      <c r="J321">
        <v>0</v>
      </c>
    </row>
    <row r="322" spans="1:10" x14ac:dyDescent="0.3">
      <c r="A322">
        <v>1012</v>
      </c>
      <c r="B322" t="s">
        <v>1040</v>
      </c>
      <c r="C322">
        <v>59</v>
      </c>
      <c r="D322" t="s">
        <v>11</v>
      </c>
      <c r="E322" s="2">
        <v>45778</v>
      </c>
      <c r="F322" s="2">
        <v>45567</v>
      </c>
      <c r="G322" t="s">
        <v>1041</v>
      </c>
      <c r="H322" t="s">
        <v>29</v>
      </c>
      <c r="I322" t="s">
        <v>1042</v>
      </c>
      <c r="J322">
        <v>1</v>
      </c>
    </row>
    <row r="323" spans="1:10" x14ac:dyDescent="0.3">
      <c r="A323">
        <v>1038</v>
      </c>
      <c r="B323" t="s">
        <v>1043</v>
      </c>
      <c r="C323">
        <v>57</v>
      </c>
      <c r="D323" t="s">
        <v>41</v>
      </c>
      <c r="E323" s="1">
        <v>45776</v>
      </c>
      <c r="F323" t="s">
        <v>1044</v>
      </c>
      <c r="G323" t="s">
        <v>1045</v>
      </c>
      <c r="H323" t="s">
        <v>25</v>
      </c>
      <c r="I323" t="s">
        <v>1046</v>
      </c>
      <c r="J323" t="s">
        <v>21</v>
      </c>
    </row>
    <row r="324" spans="1:10" x14ac:dyDescent="0.3">
      <c r="A324">
        <v>1000</v>
      </c>
      <c r="B324" t="s">
        <v>1047</v>
      </c>
      <c r="C324">
        <v>85</v>
      </c>
      <c r="D324" t="s">
        <v>23</v>
      </c>
      <c r="E324" s="1">
        <v>45823</v>
      </c>
      <c r="F324" s="1">
        <v>45476</v>
      </c>
      <c r="G324" t="s">
        <v>1048</v>
      </c>
      <c r="H324" t="s">
        <v>25</v>
      </c>
      <c r="I324" t="s">
        <v>1049</v>
      </c>
      <c r="J324">
        <v>0</v>
      </c>
    </row>
    <row r="325" spans="1:10" x14ac:dyDescent="0.3">
      <c r="A325">
        <v>1020</v>
      </c>
      <c r="B325" t="s">
        <v>1050</v>
      </c>
      <c r="C325">
        <v>76</v>
      </c>
      <c r="D325" t="s">
        <v>41</v>
      </c>
      <c r="E325" s="2">
        <v>45807</v>
      </c>
      <c r="F325" t="s">
        <v>1051</v>
      </c>
      <c r="G325" t="s">
        <v>1052</v>
      </c>
      <c r="H325" t="s">
        <v>29</v>
      </c>
      <c r="I325" t="s">
        <v>1053</v>
      </c>
      <c r="J325" t="s">
        <v>31</v>
      </c>
    </row>
    <row r="326" spans="1:10" x14ac:dyDescent="0.3">
      <c r="A326">
        <v>1010</v>
      </c>
      <c r="B326" t="s">
        <v>1054</v>
      </c>
      <c r="C326">
        <v>87</v>
      </c>
      <c r="E326" s="2">
        <v>45813</v>
      </c>
      <c r="F326" t="s">
        <v>1055</v>
      </c>
      <c r="G326" t="s">
        <v>1056</v>
      </c>
      <c r="H326" t="s">
        <v>25</v>
      </c>
      <c r="I326" t="s">
        <v>1057</v>
      </c>
      <c r="J326">
        <v>1</v>
      </c>
    </row>
    <row r="327" spans="1:10" x14ac:dyDescent="0.3">
      <c r="A327">
        <v>1031</v>
      </c>
      <c r="B327" t="s">
        <v>1058</v>
      </c>
      <c r="C327">
        <v>40</v>
      </c>
      <c r="D327">
        <v>1</v>
      </c>
      <c r="E327" s="1">
        <v>46065</v>
      </c>
      <c r="F327" s="1">
        <v>45394</v>
      </c>
      <c r="G327" t="s">
        <v>1059</v>
      </c>
      <c r="H327" t="s">
        <v>25</v>
      </c>
      <c r="I327" t="s">
        <v>1060</v>
      </c>
      <c r="J327" t="s">
        <v>65</v>
      </c>
    </row>
    <row r="328" spans="1:10" x14ac:dyDescent="0.3">
      <c r="A328">
        <v>1006</v>
      </c>
      <c r="B328" t="s">
        <v>1061</v>
      </c>
      <c r="C328">
        <v>54</v>
      </c>
      <c r="D328" t="s">
        <v>41</v>
      </c>
      <c r="E328" s="2">
        <v>45826</v>
      </c>
      <c r="F328" s="1">
        <v>45454</v>
      </c>
      <c r="G328" t="s">
        <v>1062</v>
      </c>
      <c r="H328" t="s">
        <v>25</v>
      </c>
      <c r="I328" t="s">
        <v>1063</v>
      </c>
      <c r="J328" t="s">
        <v>31</v>
      </c>
    </row>
    <row r="329" spans="1:10" x14ac:dyDescent="0.3">
      <c r="A329">
        <v>1078</v>
      </c>
      <c r="B329" t="s">
        <v>1064</v>
      </c>
      <c r="C329">
        <v>85</v>
      </c>
      <c r="D329" t="s">
        <v>16</v>
      </c>
      <c r="E329" s="2">
        <v>45858</v>
      </c>
      <c r="F329" t="s">
        <v>1065</v>
      </c>
      <c r="G329" t="s">
        <v>1066</v>
      </c>
      <c r="H329" t="s">
        <v>29</v>
      </c>
      <c r="I329" t="s">
        <v>1067</v>
      </c>
      <c r="J329">
        <v>0</v>
      </c>
    </row>
    <row r="330" spans="1:10" x14ac:dyDescent="0.3">
      <c r="A330">
        <v>1021</v>
      </c>
      <c r="B330" t="s">
        <v>1068</v>
      </c>
      <c r="C330">
        <v>43</v>
      </c>
      <c r="D330" t="s">
        <v>16</v>
      </c>
      <c r="E330" s="1">
        <v>45772</v>
      </c>
      <c r="F330" s="2">
        <v>45748</v>
      </c>
      <c r="G330" t="s">
        <v>1069</v>
      </c>
      <c r="H330" t="s">
        <v>25</v>
      </c>
      <c r="I330" t="s">
        <v>1070</v>
      </c>
      <c r="J330">
        <v>0</v>
      </c>
    </row>
    <row r="331" spans="1:10" x14ac:dyDescent="0.3">
      <c r="A331">
        <v>1084</v>
      </c>
      <c r="B331" t="s">
        <v>1071</v>
      </c>
      <c r="C331">
        <v>53</v>
      </c>
      <c r="D331" t="s">
        <v>11</v>
      </c>
      <c r="E331" s="1">
        <v>45788</v>
      </c>
      <c r="F331" s="1">
        <v>45665</v>
      </c>
      <c r="G331" t="s">
        <v>1072</v>
      </c>
      <c r="H331" t="s">
        <v>25</v>
      </c>
      <c r="I331" t="s">
        <v>1073</v>
      </c>
      <c r="J331" t="s">
        <v>39</v>
      </c>
    </row>
    <row r="332" spans="1:10" x14ac:dyDescent="0.3">
      <c r="A332">
        <v>1025</v>
      </c>
      <c r="B332" t="s">
        <v>1074</v>
      </c>
      <c r="C332">
        <v>55</v>
      </c>
      <c r="D332" t="s">
        <v>41</v>
      </c>
      <c r="E332" s="2">
        <v>45976</v>
      </c>
      <c r="F332" s="1">
        <v>45479</v>
      </c>
      <c r="G332" t="s">
        <v>1075</v>
      </c>
      <c r="H332" t="s">
        <v>29</v>
      </c>
      <c r="I332" t="s">
        <v>1076</v>
      </c>
      <c r="J332" t="s">
        <v>31</v>
      </c>
    </row>
    <row r="333" spans="1:10" x14ac:dyDescent="0.3">
      <c r="A333">
        <v>1015</v>
      </c>
      <c r="B333" t="s">
        <v>1077</v>
      </c>
      <c r="C333">
        <v>21</v>
      </c>
      <c r="D333" t="s">
        <v>16</v>
      </c>
      <c r="E333" s="2">
        <v>45998</v>
      </c>
      <c r="F333" s="1">
        <v>45716</v>
      </c>
      <c r="G333" t="s">
        <v>1078</v>
      </c>
      <c r="H333" t="s">
        <v>19</v>
      </c>
      <c r="I333" t="s">
        <v>1079</v>
      </c>
      <c r="J333">
        <v>1</v>
      </c>
    </row>
    <row r="334" spans="1:10" x14ac:dyDescent="0.3">
      <c r="A334">
        <v>1084</v>
      </c>
      <c r="B334" t="s">
        <v>1080</v>
      </c>
      <c r="C334">
        <v>78</v>
      </c>
      <c r="D334" t="s">
        <v>56</v>
      </c>
      <c r="E334" s="2">
        <v>46064</v>
      </c>
      <c r="F334" s="1">
        <v>45610</v>
      </c>
      <c r="G334" t="s">
        <v>1081</v>
      </c>
      <c r="H334" t="s">
        <v>25</v>
      </c>
      <c r="I334" t="s">
        <v>1082</v>
      </c>
      <c r="J334">
        <v>0</v>
      </c>
    </row>
    <row r="335" spans="1:10" x14ac:dyDescent="0.3">
      <c r="A335">
        <v>1015</v>
      </c>
      <c r="B335" t="s">
        <v>1083</v>
      </c>
      <c r="C335">
        <v>86</v>
      </c>
      <c r="D335" t="s">
        <v>16</v>
      </c>
      <c r="E335" s="1">
        <v>45882</v>
      </c>
      <c r="F335" s="1">
        <v>45556</v>
      </c>
      <c r="G335" t="s">
        <v>1084</v>
      </c>
      <c r="H335" t="s">
        <v>13</v>
      </c>
      <c r="I335" t="s">
        <v>1085</v>
      </c>
      <c r="J335" t="s">
        <v>21</v>
      </c>
    </row>
    <row r="336" spans="1:10" x14ac:dyDescent="0.3">
      <c r="A336">
        <v>1091</v>
      </c>
      <c r="B336" t="s">
        <v>1086</v>
      </c>
      <c r="C336">
        <v>27</v>
      </c>
      <c r="D336" t="s">
        <v>76</v>
      </c>
      <c r="E336" s="2">
        <v>46031</v>
      </c>
      <c r="F336" s="2">
        <v>45732</v>
      </c>
      <c r="G336" t="s">
        <v>1087</v>
      </c>
      <c r="H336" t="s">
        <v>19</v>
      </c>
      <c r="I336" t="s">
        <v>1088</v>
      </c>
      <c r="J336">
        <v>0</v>
      </c>
    </row>
    <row r="337" spans="1:10" x14ac:dyDescent="0.3">
      <c r="A337">
        <v>1065</v>
      </c>
      <c r="B337" t="s">
        <v>1089</v>
      </c>
      <c r="C337">
        <v>76</v>
      </c>
      <c r="D337" t="s">
        <v>56</v>
      </c>
      <c r="E337" t="s">
        <v>1090</v>
      </c>
      <c r="F337" s="2">
        <v>45648</v>
      </c>
      <c r="G337" t="s">
        <v>1091</v>
      </c>
      <c r="H337" t="s">
        <v>19</v>
      </c>
      <c r="I337" t="s">
        <v>1092</v>
      </c>
      <c r="J337" t="s">
        <v>21</v>
      </c>
    </row>
    <row r="338" spans="1:10" x14ac:dyDescent="0.3">
      <c r="A338">
        <v>1045</v>
      </c>
      <c r="B338" t="s">
        <v>1093</v>
      </c>
      <c r="C338">
        <v>38</v>
      </c>
      <c r="D338" t="s">
        <v>56</v>
      </c>
      <c r="E338" t="s">
        <v>809</v>
      </c>
      <c r="F338" s="1">
        <v>45906</v>
      </c>
      <c r="G338" t="s">
        <v>1094</v>
      </c>
      <c r="H338" t="s">
        <v>29</v>
      </c>
      <c r="I338" t="s">
        <v>300</v>
      </c>
      <c r="J338" t="s">
        <v>39</v>
      </c>
    </row>
    <row r="339" spans="1:10" x14ac:dyDescent="0.3">
      <c r="A339">
        <v>1050</v>
      </c>
      <c r="B339" t="s">
        <v>1095</v>
      </c>
      <c r="C339">
        <v>81</v>
      </c>
      <c r="D339" t="s">
        <v>56</v>
      </c>
      <c r="E339" s="2">
        <v>45804</v>
      </c>
      <c r="F339" t="s">
        <v>1096</v>
      </c>
      <c r="G339" t="s">
        <v>1097</v>
      </c>
      <c r="H339" t="s">
        <v>13</v>
      </c>
      <c r="I339" t="s">
        <v>1098</v>
      </c>
      <c r="J339" t="s">
        <v>21</v>
      </c>
    </row>
    <row r="340" spans="1:10" x14ac:dyDescent="0.3">
      <c r="A340">
        <v>1058</v>
      </c>
      <c r="B340" t="s">
        <v>1099</v>
      </c>
      <c r="C340">
        <v>90</v>
      </c>
      <c r="D340" t="s">
        <v>76</v>
      </c>
      <c r="E340" t="s">
        <v>1100</v>
      </c>
      <c r="F340" s="2">
        <v>45460</v>
      </c>
      <c r="G340" t="s">
        <v>1101</v>
      </c>
      <c r="H340" t="s">
        <v>29</v>
      </c>
      <c r="I340" t="s">
        <v>1102</v>
      </c>
      <c r="J340" t="s">
        <v>39</v>
      </c>
    </row>
    <row r="341" spans="1:10" x14ac:dyDescent="0.3">
      <c r="A341">
        <v>1047</v>
      </c>
      <c r="B341" t="s">
        <v>1103</v>
      </c>
      <c r="C341">
        <v>87</v>
      </c>
      <c r="D341" t="s">
        <v>11</v>
      </c>
      <c r="E341" s="1">
        <v>45818</v>
      </c>
      <c r="F341" s="1">
        <v>45628</v>
      </c>
      <c r="G341" t="s">
        <v>1104</v>
      </c>
      <c r="H341" t="s">
        <v>29</v>
      </c>
      <c r="I341" t="s">
        <v>1105</v>
      </c>
      <c r="J341" t="s">
        <v>65</v>
      </c>
    </row>
    <row r="342" spans="1:10" x14ac:dyDescent="0.3">
      <c r="A342">
        <v>1044</v>
      </c>
      <c r="B342" t="s">
        <v>1106</v>
      </c>
      <c r="C342">
        <v>74</v>
      </c>
      <c r="D342" t="s">
        <v>16</v>
      </c>
      <c r="E342" s="2">
        <v>45749</v>
      </c>
      <c r="F342" s="2">
        <v>45676</v>
      </c>
      <c r="G342" t="s">
        <v>1107</v>
      </c>
      <c r="H342" t="s">
        <v>19</v>
      </c>
      <c r="I342" t="s">
        <v>1108</v>
      </c>
      <c r="J342">
        <v>0</v>
      </c>
    </row>
    <row r="343" spans="1:10" x14ac:dyDescent="0.3">
      <c r="A343">
        <v>1049</v>
      </c>
      <c r="B343" t="s">
        <v>1109</v>
      </c>
      <c r="C343">
        <v>65</v>
      </c>
      <c r="D343" t="s">
        <v>41</v>
      </c>
      <c r="E343" t="s">
        <v>1110</v>
      </c>
      <c r="F343" s="2">
        <v>45443</v>
      </c>
      <c r="G343" t="s">
        <v>1111</v>
      </c>
      <c r="H343" t="s">
        <v>13</v>
      </c>
      <c r="I343" t="s">
        <v>1112</v>
      </c>
      <c r="J343">
        <v>1</v>
      </c>
    </row>
    <row r="344" spans="1:10" x14ac:dyDescent="0.3">
      <c r="A344">
        <v>1095</v>
      </c>
      <c r="B344" t="s">
        <v>1113</v>
      </c>
      <c r="C344">
        <v>53</v>
      </c>
      <c r="D344" t="s">
        <v>16</v>
      </c>
      <c r="E344" s="2">
        <v>46104</v>
      </c>
      <c r="F344" s="2">
        <v>45749</v>
      </c>
      <c r="G344" t="s">
        <v>1114</v>
      </c>
      <c r="H344" t="s">
        <v>13</v>
      </c>
      <c r="J344" t="s">
        <v>21</v>
      </c>
    </row>
    <row r="345" spans="1:10" x14ac:dyDescent="0.3">
      <c r="A345">
        <v>1098</v>
      </c>
      <c r="B345" t="s">
        <v>1115</v>
      </c>
      <c r="C345">
        <v>48</v>
      </c>
      <c r="D345" t="s">
        <v>16</v>
      </c>
      <c r="E345" s="2">
        <v>46027</v>
      </c>
      <c r="F345" s="2">
        <v>45807</v>
      </c>
      <c r="G345" t="s">
        <v>1116</v>
      </c>
      <c r="H345" t="s">
        <v>29</v>
      </c>
      <c r="I345" t="s">
        <v>1117</v>
      </c>
      <c r="J345" t="s">
        <v>39</v>
      </c>
    </row>
    <row r="346" spans="1:10" x14ac:dyDescent="0.3">
      <c r="A346">
        <v>1066</v>
      </c>
      <c r="B346" t="s">
        <v>1118</v>
      </c>
      <c r="C346">
        <v>33</v>
      </c>
      <c r="D346" t="s">
        <v>23</v>
      </c>
      <c r="E346" s="1">
        <v>45840</v>
      </c>
      <c r="F346" s="2">
        <v>45518</v>
      </c>
      <c r="G346" t="s">
        <v>1119</v>
      </c>
      <c r="H346" t="s">
        <v>29</v>
      </c>
      <c r="I346" t="s">
        <v>1120</v>
      </c>
      <c r="J346" t="s">
        <v>31</v>
      </c>
    </row>
    <row r="347" spans="1:10" x14ac:dyDescent="0.3">
      <c r="A347">
        <v>1014</v>
      </c>
      <c r="B347" t="s">
        <v>1121</v>
      </c>
      <c r="C347">
        <v>90</v>
      </c>
      <c r="E347" s="2">
        <v>46065</v>
      </c>
      <c r="F347" t="s">
        <v>1122</v>
      </c>
      <c r="G347" t="s">
        <v>1123</v>
      </c>
      <c r="H347" t="s">
        <v>19</v>
      </c>
      <c r="I347" t="s">
        <v>1124</v>
      </c>
      <c r="J347" t="s">
        <v>65</v>
      </c>
    </row>
    <row r="348" spans="1:10" x14ac:dyDescent="0.3">
      <c r="A348">
        <v>1003</v>
      </c>
      <c r="B348" t="s">
        <v>1125</v>
      </c>
      <c r="C348">
        <v>61</v>
      </c>
      <c r="D348">
        <v>1</v>
      </c>
      <c r="E348" s="2">
        <v>45869</v>
      </c>
      <c r="F348" s="1">
        <v>45770</v>
      </c>
      <c r="G348" t="s">
        <v>1126</v>
      </c>
      <c r="H348" t="s">
        <v>25</v>
      </c>
      <c r="I348" t="s">
        <v>1127</v>
      </c>
      <c r="J348">
        <v>0</v>
      </c>
    </row>
    <row r="349" spans="1:10" x14ac:dyDescent="0.3">
      <c r="A349">
        <v>1056</v>
      </c>
      <c r="B349" t="s">
        <v>1128</v>
      </c>
      <c r="C349">
        <v>46</v>
      </c>
      <c r="D349">
        <v>1</v>
      </c>
      <c r="E349" s="2">
        <v>46093</v>
      </c>
      <c r="F349" s="1">
        <v>45880</v>
      </c>
      <c r="G349" t="s">
        <v>1129</v>
      </c>
      <c r="H349" t="s">
        <v>25</v>
      </c>
      <c r="I349" t="s">
        <v>1130</v>
      </c>
      <c r="J349">
        <v>0</v>
      </c>
    </row>
    <row r="350" spans="1:10" x14ac:dyDescent="0.3">
      <c r="A350">
        <v>1033</v>
      </c>
      <c r="B350" t="s">
        <v>1131</v>
      </c>
      <c r="C350">
        <v>48</v>
      </c>
      <c r="D350">
        <v>0</v>
      </c>
      <c r="E350" s="2">
        <v>45838</v>
      </c>
      <c r="F350" s="2">
        <v>45681</v>
      </c>
      <c r="G350" t="s">
        <v>388</v>
      </c>
      <c r="H350" t="s">
        <v>19</v>
      </c>
      <c r="I350" t="s">
        <v>1132</v>
      </c>
      <c r="J350" t="s">
        <v>31</v>
      </c>
    </row>
    <row r="351" spans="1:10" x14ac:dyDescent="0.3">
      <c r="A351">
        <v>1095</v>
      </c>
      <c r="B351" t="s">
        <v>1133</v>
      </c>
      <c r="C351">
        <v>37</v>
      </c>
      <c r="D351">
        <v>1</v>
      </c>
      <c r="E351" s="1">
        <v>45951</v>
      </c>
      <c r="F351" s="2">
        <v>45876</v>
      </c>
      <c r="G351" t="s">
        <v>1134</v>
      </c>
      <c r="H351" t="s">
        <v>13</v>
      </c>
      <c r="J351" t="s">
        <v>39</v>
      </c>
    </row>
    <row r="352" spans="1:10" x14ac:dyDescent="0.3">
      <c r="A352">
        <v>1036</v>
      </c>
      <c r="B352" t="s">
        <v>1135</v>
      </c>
      <c r="C352">
        <v>27</v>
      </c>
      <c r="D352" t="s">
        <v>76</v>
      </c>
      <c r="E352" s="1">
        <v>46101</v>
      </c>
      <c r="F352" s="1">
        <v>46062</v>
      </c>
      <c r="G352" t="s">
        <v>1136</v>
      </c>
      <c r="H352" t="s">
        <v>13</v>
      </c>
      <c r="I352" t="s">
        <v>1137</v>
      </c>
      <c r="J352" t="s">
        <v>21</v>
      </c>
    </row>
    <row r="353" spans="1:10" x14ac:dyDescent="0.3">
      <c r="A353">
        <v>1082</v>
      </c>
      <c r="B353" t="s">
        <v>1138</v>
      </c>
      <c r="C353">
        <v>29</v>
      </c>
      <c r="D353" t="s">
        <v>23</v>
      </c>
      <c r="E353" s="1">
        <v>45962</v>
      </c>
      <c r="F353" s="2">
        <v>45733</v>
      </c>
      <c r="G353" t="s">
        <v>1139</v>
      </c>
      <c r="H353" t="s">
        <v>25</v>
      </c>
      <c r="I353" t="s">
        <v>1140</v>
      </c>
      <c r="J353" t="s">
        <v>65</v>
      </c>
    </row>
    <row r="354" spans="1:10" x14ac:dyDescent="0.3">
      <c r="A354">
        <v>1063</v>
      </c>
      <c r="B354" t="s">
        <v>1141</v>
      </c>
      <c r="C354">
        <v>36</v>
      </c>
      <c r="D354" t="s">
        <v>76</v>
      </c>
      <c r="E354" s="2">
        <v>45932</v>
      </c>
      <c r="F354" s="1">
        <v>45912</v>
      </c>
      <c r="G354" t="s">
        <v>1142</v>
      </c>
      <c r="H354" t="s">
        <v>29</v>
      </c>
      <c r="I354" t="s">
        <v>1143</v>
      </c>
      <c r="J354" t="s">
        <v>39</v>
      </c>
    </row>
    <row r="355" spans="1:10" x14ac:dyDescent="0.3">
      <c r="A355">
        <v>1003</v>
      </c>
      <c r="B355" t="s">
        <v>1144</v>
      </c>
      <c r="C355">
        <v>29</v>
      </c>
      <c r="D355" t="s">
        <v>11</v>
      </c>
      <c r="E355" t="s">
        <v>1145</v>
      </c>
      <c r="F355" s="2">
        <v>45386</v>
      </c>
      <c r="G355" t="s">
        <v>1146</v>
      </c>
      <c r="H355" t="s">
        <v>19</v>
      </c>
      <c r="I355" t="s">
        <v>1147</v>
      </c>
      <c r="J355" t="s">
        <v>65</v>
      </c>
    </row>
    <row r="356" spans="1:10" x14ac:dyDescent="0.3">
      <c r="A356">
        <v>1005</v>
      </c>
      <c r="B356" t="s">
        <v>1148</v>
      </c>
      <c r="C356">
        <v>64</v>
      </c>
      <c r="D356" t="s">
        <v>11</v>
      </c>
      <c r="E356" s="2">
        <v>45915</v>
      </c>
      <c r="F356" t="s">
        <v>132</v>
      </c>
      <c r="G356" t="s">
        <v>1149</v>
      </c>
      <c r="H356" t="s">
        <v>25</v>
      </c>
      <c r="I356" t="s">
        <v>1150</v>
      </c>
      <c r="J356" t="s">
        <v>31</v>
      </c>
    </row>
    <row r="357" spans="1:10" x14ac:dyDescent="0.3">
      <c r="A357">
        <v>1058</v>
      </c>
      <c r="B357" t="s">
        <v>1151</v>
      </c>
      <c r="C357">
        <v>36</v>
      </c>
      <c r="D357" t="s">
        <v>41</v>
      </c>
      <c r="E357" s="2">
        <v>46011</v>
      </c>
      <c r="F357" s="2">
        <v>45378</v>
      </c>
      <c r="G357" t="s">
        <v>1152</v>
      </c>
      <c r="H357" t="s">
        <v>29</v>
      </c>
      <c r="I357" t="s">
        <v>1153</v>
      </c>
      <c r="J357">
        <v>1</v>
      </c>
    </row>
    <row r="358" spans="1:10" x14ac:dyDescent="0.3">
      <c r="A358">
        <v>1061</v>
      </c>
      <c r="B358" t="s">
        <v>1154</v>
      </c>
      <c r="C358">
        <v>23</v>
      </c>
      <c r="D358" t="s">
        <v>56</v>
      </c>
      <c r="E358" s="1">
        <v>46235</v>
      </c>
      <c r="F358" s="2">
        <v>45625</v>
      </c>
      <c r="G358" t="s">
        <v>1155</v>
      </c>
      <c r="H358" t="s">
        <v>13</v>
      </c>
      <c r="I358" t="s">
        <v>1156</v>
      </c>
      <c r="J358" t="s">
        <v>65</v>
      </c>
    </row>
    <row r="359" spans="1:10" x14ac:dyDescent="0.3">
      <c r="A359">
        <v>1004</v>
      </c>
      <c r="B359" t="s">
        <v>1157</v>
      </c>
      <c r="C359">
        <v>63</v>
      </c>
      <c r="D359" t="s">
        <v>11</v>
      </c>
      <c r="E359" s="1">
        <v>45790</v>
      </c>
      <c r="F359" s="1">
        <v>45404</v>
      </c>
      <c r="G359" t="s">
        <v>1158</v>
      </c>
      <c r="H359" t="s">
        <v>29</v>
      </c>
      <c r="I359" t="s">
        <v>1159</v>
      </c>
      <c r="J359">
        <v>0</v>
      </c>
    </row>
    <row r="360" spans="1:10" x14ac:dyDescent="0.3">
      <c r="A360">
        <v>1057</v>
      </c>
      <c r="B360" t="s">
        <v>1160</v>
      </c>
      <c r="C360">
        <v>58</v>
      </c>
      <c r="D360">
        <v>1</v>
      </c>
      <c r="E360" s="1">
        <v>45908</v>
      </c>
      <c r="F360" s="1">
        <v>45712</v>
      </c>
      <c r="G360" t="s">
        <v>1161</v>
      </c>
      <c r="H360" t="s">
        <v>13</v>
      </c>
      <c r="I360" t="s">
        <v>1162</v>
      </c>
      <c r="J360">
        <v>0</v>
      </c>
    </row>
    <row r="361" spans="1:10" x14ac:dyDescent="0.3">
      <c r="A361">
        <v>1036</v>
      </c>
      <c r="B361" t="s">
        <v>1163</v>
      </c>
      <c r="C361">
        <v>38</v>
      </c>
      <c r="D361" t="s">
        <v>41</v>
      </c>
      <c r="E361" s="2">
        <v>45978</v>
      </c>
      <c r="F361" s="1">
        <v>45574</v>
      </c>
      <c r="G361" t="s">
        <v>1164</v>
      </c>
      <c r="H361" t="s">
        <v>25</v>
      </c>
      <c r="I361" t="s">
        <v>1165</v>
      </c>
      <c r="J361" t="s">
        <v>39</v>
      </c>
    </row>
    <row r="362" spans="1:10" x14ac:dyDescent="0.3">
      <c r="A362">
        <v>1095</v>
      </c>
      <c r="B362" t="s">
        <v>1166</v>
      </c>
      <c r="C362">
        <v>60</v>
      </c>
      <c r="D362" t="s">
        <v>41</v>
      </c>
      <c r="E362" s="2">
        <v>46013</v>
      </c>
      <c r="F362" s="2">
        <v>45429</v>
      </c>
      <c r="G362" t="s">
        <v>1167</v>
      </c>
      <c r="H362" t="s">
        <v>29</v>
      </c>
      <c r="I362" t="s">
        <v>1168</v>
      </c>
      <c r="J362" t="s">
        <v>39</v>
      </c>
    </row>
    <row r="363" spans="1:10" x14ac:dyDescent="0.3">
      <c r="A363">
        <v>1036</v>
      </c>
      <c r="B363" t="s">
        <v>1169</v>
      </c>
      <c r="C363">
        <v>87</v>
      </c>
      <c r="D363">
        <v>1</v>
      </c>
      <c r="E363" s="2">
        <v>45869</v>
      </c>
      <c r="F363" s="2">
        <v>45598</v>
      </c>
      <c r="G363" t="s">
        <v>1170</v>
      </c>
      <c r="H363" t="s">
        <v>13</v>
      </c>
      <c r="I363" t="s">
        <v>1171</v>
      </c>
      <c r="J363">
        <v>1</v>
      </c>
    </row>
    <row r="364" spans="1:10" x14ac:dyDescent="0.3">
      <c r="A364">
        <v>1049</v>
      </c>
      <c r="B364" t="s">
        <v>1172</v>
      </c>
      <c r="C364">
        <v>58</v>
      </c>
      <c r="D364" t="s">
        <v>11</v>
      </c>
      <c r="E364" s="1">
        <v>45846</v>
      </c>
      <c r="F364" s="1">
        <v>45689</v>
      </c>
      <c r="G364" t="s">
        <v>1173</v>
      </c>
      <c r="H364" t="s">
        <v>13</v>
      </c>
      <c r="I364" t="s">
        <v>1174</v>
      </c>
      <c r="J364" t="s">
        <v>21</v>
      </c>
    </row>
    <row r="365" spans="1:10" x14ac:dyDescent="0.3">
      <c r="A365">
        <v>1036</v>
      </c>
      <c r="B365" t="s">
        <v>1175</v>
      </c>
      <c r="C365">
        <v>20</v>
      </c>
      <c r="D365">
        <v>1</v>
      </c>
      <c r="E365" s="2">
        <v>45895</v>
      </c>
      <c r="F365" s="1">
        <v>45901</v>
      </c>
      <c r="G365" t="s">
        <v>1176</v>
      </c>
      <c r="H365" t="s">
        <v>13</v>
      </c>
      <c r="I365" t="s">
        <v>1177</v>
      </c>
      <c r="J365" t="s">
        <v>31</v>
      </c>
    </row>
    <row r="366" spans="1:10" x14ac:dyDescent="0.3">
      <c r="A366">
        <v>1050</v>
      </c>
      <c r="B366" t="s">
        <v>1178</v>
      </c>
      <c r="C366">
        <v>81</v>
      </c>
      <c r="E366" s="1">
        <v>46070</v>
      </c>
      <c r="F366" s="1">
        <v>45750</v>
      </c>
      <c r="G366" t="s">
        <v>360</v>
      </c>
      <c r="H366" t="s">
        <v>25</v>
      </c>
      <c r="I366" t="s">
        <v>1179</v>
      </c>
      <c r="J366" t="s">
        <v>21</v>
      </c>
    </row>
    <row r="367" spans="1:10" x14ac:dyDescent="0.3">
      <c r="A367">
        <v>1019</v>
      </c>
      <c r="B367" t="s">
        <v>1180</v>
      </c>
      <c r="C367">
        <v>38</v>
      </c>
      <c r="E367" t="s">
        <v>1181</v>
      </c>
      <c r="F367" s="2">
        <v>45883</v>
      </c>
      <c r="G367" t="s">
        <v>1182</v>
      </c>
      <c r="H367" t="s">
        <v>19</v>
      </c>
      <c r="I367" t="s">
        <v>1183</v>
      </c>
      <c r="J367">
        <v>1</v>
      </c>
    </row>
    <row r="368" spans="1:10" x14ac:dyDescent="0.3">
      <c r="A368">
        <v>1082</v>
      </c>
      <c r="B368" t="s">
        <v>1184</v>
      </c>
      <c r="C368">
        <v>56</v>
      </c>
      <c r="D368" t="s">
        <v>23</v>
      </c>
      <c r="E368" s="1">
        <v>45917</v>
      </c>
      <c r="F368" t="s">
        <v>809</v>
      </c>
      <c r="G368" t="s">
        <v>1185</v>
      </c>
      <c r="H368" t="s">
        <v>13</v>
      </c>
      <c r="J368" t="s">
        <v>21</v>
      </c>
    </row>
    <row r="369" spans="1:10" x14ac:dyDescent="0.3">
      <c r="A369">
        <v>1074</v>
      </c>
      <c r="B369" t="s">
        <v>1186</v>
      </c>
      <c r="C369">
        <v>67</v>
      </c>
      <c r="D369" t="s">
        <v>16</v>
      </c>
      <c r="E369" s="1">
        <v>45905</v>
      </c>
      <c r="F369" s="2">
        <v>45431</v>
      </c>
      <c r="G369" t="s">
        <v>1187</v>
      </c>
      <c r="H369" t="s">
        <v>25</v>
      </c>
      <c r="I369" t="s">
        <v>1188</v>
      </c>
      <c r="J369" t="s">
        <v>21</v>
      </c>
    </row>
    <row r="370" spans="1:10" x14ac:dyDescent="0.3">
      <c r="A370">
        <v>1084</v>
      </c>
      <c r="B370" t="s">
        <v>1189</v>
      </c>
      <c r="C370">
        <v>64</v>
      </c>
      <c r="D370" t="s">
        <v>76</v>
      </c>
      <c r="E370" t="s">
        <v>1190</v>
      </c>
      <c r="F370" s="2">
        <v>45766</v>
      </c>
      <c r="G370" t="s">
        <v>1191</v>
      </c>
      <c r="H370" t="s">
        <v>19</v>
      </c>
      <c r="I370" t="s">
        <v>1192</v>
      </c>
      <c r="J370">
        <v>1</v>
      </c>
    </row>
    <row r="371" spans="1:10" x14ac:dyDescent="0.3">
      <c r="A371">
        <v>1084</v>
      </c>
      <c r="B371" t="s">
        <v>1193</v>
      </c>
      <c r="C371">
        <v>79</v>
      </c>
      <c r="D371" t="s">
        <v>16</v>
      </c>
      <c r="E371" t="s">
        <v>1194</v>
      </c>
      <c r="F371" s="1">
        <v>45992</v>
      </c>
      <c r="G371" t="s">
        <v>1195</v>
      </c>
      <c r="H371" t="s">
        <v>25</v>
      </c>
      <c r="I371" t="s">
        <v>1196</v>
      </c>
      <c r="J371" t="s">
        <v>39</v>
      </c>
    </row>
    <row r="372" spans="1:10" x14ac:dyDescent="0.3">
      <c r="A372">
        <v>1004</v>
      </c>
      <c r="B372" t="s">
        <v>1197</v>
      </c>
      <c r="C372">
        <v>27</v>
      </c>
      <c r="D372" t="s">
        <v>23</v>
      </c>
      <c r="E372" t="s">
        <v>1198</v>
      </c>
      <c r="F372" s="1">
        <v>45545</v>
      </c>
      <c r="G372" t="s">
        <v>1199</v>
      </c>
      <c r="H372" t="s">
        <v>25</v>
      </c>
      <c r="J372" t="s">
        <v>39</v>
      </c>
    </row>
    <row r="373" spans="1:10" x14ac:dyDescent="0.3">
      <c r="A373">
        <v>1006</v>
      </c>
      <c r="B373" t="s">
        <v>1200</v>
      </c>
      <c r="C373">
        <v>42</v>
      </c>
      <c r="D373" t="s">
        <v>76</v>
      </c>
      <c r="E373" s="2">
        <v>45965</v>
      </c>
      <c r="F373" s="1">
        <v>45601</v>
      </c>
      <c r="G373" t="s">
        <v>1201</v>
      </c>
      <c r="H373" t="s">
        <v>19</v>
      </c>
      <c r="J373" t="s">
        <v>39</v>
      </c>
    </row>
    <row r="374" spans="1:10" x14ac:dyDescent="0.3">
      <c r="A374">
        <v>1096</v>
      </c>
      <c r="B374" t="s">
        <v>1202</v>
      </c>
      <c r="C374">
        <v>83</v>
      </c>
      <c r="D374" t="s">
        <v>11</v>
      </c>
      <c r="E374" s="1">
        <v>46102</v>
      </c>
      <c r="F374" s="1">
        <v>46000</v>
      </c>
      <c r="G374" t="s">
        <v>1203</v>
      </c>
      <c r="H374" t="s">
        <v>25</v>
      </c>
      <c r="I374" t="s">
        <v>1204</v>
      </c>
      <c r="J374">
        <v>1</v>
      </c>
    </row>
    <row r="375" spans="1:10" x14ac:dyDescent="0.3">
      <c r="A375">
        <v>1022</v>
      </c>
      <c r="B375" t="s">
        <v>1205</v>
      </c>
      <c r="C375">
        <v>19</v>
      </c>
      <c r="D375">
        <v>1</v>
      </c>
      <c r="E375" s="2">
        <v>45949</v>
      </c>
      <c r="F375" t="s">
        <v>1206</v>
      </c>
      <c r="G375" t="s">
        <v>1207</v>
      </c>
      <c r="H375" t="s">
        <v>19</v>
      </c>
      <c r="I375" t="s">
        <v>1208</v>
      </c>
      <c r="J375" t="s">
        <v>39</v>
      </c>
    </row>
    <row r="376" spans="1:10" x14ac:dyDescent="0.3">
      <c r="A376">
        <v>1089</v>
      </c>
      <c r="B376" t="s">
        <v>1209</v>
      </c>
      <c r="C376">
        <v>35</v>
      </c>
      <c r="D376">
        <v>0</v>
      </c>
      <c r="E376" s="1">
        <v>45959</v>
      </c>
      <c r="F376" s="1">
        <v>45817</v>
      </c>
      <c r="G376" t="s">
        <v>1210</v>
      </c>
      <c r="H376" t="s">
        <v>13</v>
      </c>
      <c r="I376" t="s">
        <v>1211</v>
      </c>
      <c r="J376" t="s">
        <v>31</v>
      </c>
    </row>
    <row r="377" spans="1:10" x14ac:dyDescent="0.3">
      <c r="A377">
        <v>1058</v>
      </c>
      <c r="B377" t="s">
        <v>1212</v>
      </c>
      <c r="C377">
        <v>29</v>
      </c>
      <c r="D377" t="s">
        <v>76</v>
      </c>
      <c r="E377" s="1">
        <v>45807</v>
      </c>
      <c r="F377" s="2">
        <v>45377</v>
      </c>
      <c r="G377" t="s">
        <v>1213</v>
      </c>
      <c r="H377" t="s">
        <v>29</v>
      </c>
      <c r="I377" t="s">
        <v>1214</v>
      </c>
      <c r="J377" t="s">
        <v>39</v>
      </c>
    </row>
    <row r="378" spans="1:10" x14ac:dyDescent="0.3">
      <c r="A378">
        <v>1024</v>
      </c>
      <c r="B378" t="s">
        <v>1215</v>
      </c>
      <c r="C378">
        <v>55</v>
      </c>
      <c r="D378" t="s">
        <v>16</v>
      </c>
      <c r="E378" s="2">
        <v>45942</v>
      </c>
      <c r="F378" s="2">
        <v>45593</v>
      </c>
      <c r="G378" t="s">
        <v>1216</v>
      </c>
      <c r="H378" t="s">
        <v>29</v>
      </c>
      <c r="I378" t="s">
        <v>1217</v>
      </c>
      <c r="J378" t="s">
        <v>21</v>
      </c>
    </row>
    <row r="379" spans="1:10" x14ac:dyDescent="0.3">
      <c r="A379">
        <v>1016</v>
      </c>
      <c r="B379" t="s">
        <v>1218</v>
      </c>
      <c r="C379">
        <v>81</v>
      </c>
      <c r="D379" t="s">
        <v>41</v>
      </c>
      <c r="E379" s="2">
        <v>45859</v>
      </c>
      <c r="F379" s="1">
        <v>45481</v>
      </c>
      <c r="G379" t="s">
        <v>1219</v>
      </c>
      <c r="H379" t="s">
        <v>29</v>
      </c>
      <c r="I379" t="s">
        <v>1220</v>
      </c>
      <c r="J379">
        <v>1</v>
      </c>
    </row>
    <row r="380" spans="1:10" x14ac:dyDescent="0.3">
      <c r="A380">
        <v>1022</v>
      </c>
      <c r="B380" t="s">
        <v>1221</v>
      </c>
      <c r="C380">
        <v>56</v>
      </c>
      <c r="D380" t="s">
        <v>76</v>
      </c>
      <c r="E380" s="2">
        <v>45824</v>
      </c>
      <c r="F380" s="2">
        <v>45443</v>
      </c>
      <c r="G380" t="s">
        <v>1222</v>
      </c>
      <c r="H380" t="s">
        <v>13</v>
      </c>
      <c r="I380" t="s">
        <v>1223</v>
      </c>
      <c r="J380" t="s">
        <v>31</v>
      </c>
    </row>
    <row r="381" spans="1:10" x14ac:dyDescent="0.3">
      <c r="A381">
        <v>1088</v>
      </c>
      <c r="B381" t="s">
        <v>1224</v>
      </c>
      <c r="C381">
        <v>32</v>
      </c>
      <c r="E381" t="s">
        <v>1225</v>
      </c>
      <c r="F381" s="1">
        <v>45394</v>
      </c>
      <c r="G381" t="s">
        <v>1226</v>
      </c>
      <c r="H381" t="s">
        <v>19</v>
      </c>
      <c r="I381" t="s">
        <v>1227</v>
      </c>
      <c r="J381" t="s">
        <v>39</v>
      </c>
    </row>
    <row r="382" spans="1:10" x14ac:dyDescent="0.3">
      <c r="A382">
        <v>1016</v>
      </c>
      <c r="B382" t="s">
        <v>1228</v>
      </c>
      <c r="C382">
        <v>74</v>
      </c>
      <c r="D382" t="s">
        <v>23</v>
      </c>
      <c r="E382" s="2">
        <v>45997</v>
      </c>
      <c r="F382" s="1">
        <v>45392</v>
      </c>
      <c r="G382" t="s">
        <v>1229</v>
      </c>
      <c r="H382" t="s">
        <v>25</v>
      </c>
      <c r="I382" t="s">
        <v>1230</v>
      </c>
      <c r="J382" t="s">
        <v>21</v>
      </c>
    </row>
    <row r="383" spans="1:10" x14ac:dyDescent="0.3">
      <c r="A383">
        <v>1039</v>
      </c>
      <c r="B383" t="s">
        <v>1231</v>
      </c>
      <c r="C383">
        <v>55</v>
      </c>
      <c r="D383" t="s">
        <v>56</v>
      </c>
      <c r="E383" s="2">
        <v>45748</v>
      </c>
      <c r="F383" t="s">
        <v>1232</v>
      </c>
      <c r="G383" t="s">
        <v>1233</v>
      </c>
      <c r="H383" t="s">
        <v>19</v>
      </c>
      <c r="I383" t="s">
        <v>1234</v>
      </c>
      <c r="J383" t="s">
        <v>31</v>
      </c>
    </row>
    <row r="384" spans="1:10" x14ac:dyDescent="0.3">
      <c r="A384">
        <v>1075</v>
      </c>
      <c r="B384" t="s">
        <v>1235</v>
      </c>
      <c r="C384">
        <v>27</v>
      </c>
      <c r="D384" t="s">
        <v>41</v>
      </c>
      <c r="E384" s="1">
        <v>45754</v>
      </c>
      <c r="F384" s="2">
        <v>45384</v>
      </c>
      <c r="G384" t="s">
        <v>1236</v>
      </c>
      <c r="H384" t="s">
        <v>19</v>
      </c>
      <c r="I384" t="s">
        <v>1237</v>
      </c>
      <c r="J384" t="s">
        <v>65</v>
      </c>
    </row>
    <row r="385" spans="1:10" x14ac:dyDescent="0.3">
      <c r="A385">
        <v>1013</v>
      </c>
      <c r="B385" t="s">
        <v>1238</v>
      </c>
      <c r="C385">
        <v>62</v>
      </c>
      <c r="D385" t="s">
        <v>11</v>
      </c>
      <c r="E385" s="1">
        <v>46054</v>
      </c>
      <c r="F385" s="2">
        <v>45714</v>
      </c>
      <c r="G385" t="s">
        <v>1239</v>
      </c>
      <c r="H385" t="s">
        <v>25</v>
      </c>
      <c r="I385" t="s">
        <v>1240</v>
      </c>
      <c r="J385">
        <v>1</v>
      </c>
    </row>
    <row r="386" spans="1:10" x14ac:dyDescent="0.3">
      <c r="A386">
        <v>1089</v>
      </c>
      <c r="B386" t="s">
        <v>1241</v>
      </c>
      <c r="C386">
        <v>24</v>
      </c>
      <c r="D386" t="s">
        <v>76</v>
      </c>
      <c r="E386" s="1">
        <v>45916</v>
      </c>
      <c r="F386" s="2">
        <v>45673</v>
      </c>
      <c r="G386" t="s">
        <v>1242</v>
      </c>
      <c r="H386" t="s">
        <v>19</v>
      </c>
      <c r="I386" t="s">
        <v>1243</v>
      </c>
      <c r="J386" t="s">
        <v>39</v>
      </c>
    </row>
    <row r="387" spans="1:10" x14ac:dyDescent="0.3">
      <c r="A387">
        <v>1084</v>
      </c>
      <c r="B387" t="s">
        <v>1244</v>
      </c>
      <c r="C387">
        <v>34</v>
      </c>
      <c r="D387" t="s">
        <v>16</v>
      </c>
      <c r="E387" s="2">
        <v>45998</v>
      </c>
      <c r="F387" s="2">
        <v>45941</v>
      </c>
      <c r="G387" t="s">
        <v>1245</v>
      </c>
      <c r="H387" t="s">
        <v>29</v>
      </c>
      <c r="I387" t="s">
        <v>1246</v>
      </c>
      <c r="J387">
        <v>0</v>
      </c>
    </row>
    <row r="388" spans="1:10" x14ac:dyDescent="0.3">
      <c r="A388">
        <v>1018</v>
      </c>
      <c r="B388" t="s">
        <v>1247</v>
      </c>
      <c r="C388">
        <v>68</v>
      </c>
      <c r="D388">
        <v>1</v>
      </c>
      <c r="E388" t="s">
        <v>1248</v>
      </c>
      <c r="F388" s="2">
        <v>45813</v>
      </c>
      <c r="G388" t="s">
        <v>1249</v>
      </c>
      <c r="H388" t="s">
        <v>13</v>
      </c>
      <c r="I388" t="s">
        <v>1250</v>
      </c>
      <c r="J388" t="s">
        <v>21</v>
      </c>
    </row>
    <row r="389" spans="1:10" x14ac:dyDescent="0.3">
      <c r="A389">
        <v>1026</v>
      </c>
      <c r="B389" t="s">
        <v>1251</v>
      </c>
      <c r="C389">
        <v>42</v>
      </c>
      <c r="D389">
        <v>1</v>
      </c>
      <c r="E389" s="2">
        <v>46047</v>
      </c>
      <c r="F389" s="2">
        <v>45635</v>
      </c>
      <c r="G389" t="s">
        <v>1252</v>
      </c>
      <c r="H389" t="s">
        <v>29</v>
      </c>
      <c r="I389" t="s">
        <v>1253</v>
      </c>
      <c r="J389" t="s">
        <v>65</v>
      </c>
    </row>
    <row r="390" spans="1:10" x14ac:dyDescent="0.3">
      <c r="A390">
        <v>1001</v>
      </c>
      <c r="B390" t="s">
        <v>1254</v>
      </c>
      <c r="C390">
        <v>90</v>
      </c>
      <c r="D390" t="s">
        <v>23</v>
      </c>
      <c r="E390" s="1">
        <v>45973</v>
      </c>
      <c r="F390" s="2">
        <v>45904</v>
      </c>
      <c r="G390" t="s">
        <v>1255</v>
      </c>
      <c r="H390" t="s">
        <v>25</v>
      </c>
      <c r="I390" t="s">
        <v>1256</v>
      </c>
      <c r="J390" t="s">
        <v>31</v>
      </c>
    </row>
    <row r="391" spans="1:10" x14ac:dyDescent="0.3">
      <c r="A391">
        <v>1004</v>
      </c>
      <c r="B391" t="s">
        <v>1257</v>
      </c>
      <c r="C391">
        <v>65</v>
      </c>
      <c r="D391" t="s">
        <v>56</v>
      </c>
      <c r="E391" s="1">
        <v>45881</v>
      </c>
      <c r="F391" s="2">
        <v>45653</v>
      </c>
      <c r="G391" t="s">
        <v>1258</v>
      </c>
      <c r="H391" t="s">
        <v>13</v>
      </c>
      <c r="I391" t="s">
        <v>1259</v>
      </c>
      <c r="J391" t="s">
        <v>21</v>
      </c>
    </row>
    <row r="392" spans="1:10" x14ac:dyDescent="0.3">
      <c r="A392">
        <v>1013</v>
      </c>
      <c r="B392" t="s">
        <v>1260</v>
      </c>
      <c r="C392">
        <v>89</v>
      </c>
      <c r="D392" t="s">
        <v>76</v>
      </c>
      <c r="E392" s="2">
        <v>45944</v>
      </c>
      <c r="F392" s="2">
        <v>45551</v>
      </c>
      <c r="G392" t="s">
        <v>1261</v>
      </c>
      <c r="H392" t="s">
        <v>13</v>
      </c>
      <c r="I392" t="s">
        <v>1262</v>
      </c>
      <c r="J392">
        <v>1</v>
      </c>
    </row>
    <row r="393" spans="1:10" x14ac:dyDescent="0.3">
      <c r="A393">
        <v>1009</v>
      </c>
      <c r="B393" t="s">
        <v>1263</v>
      </c>
      <c r="C393">
        <v>67</v>
      </c>
      <c r="D393" t="s">
        <v>11</v>
      </c>
      <c r="E393" s="1">
        <v>45695</v>
      </c>
      <c r="F393" s="2">
        <v>45447</v>
      </c>
      <c r="G393" t="s">
        <v>1264</v>
      </c>
      <c r="H393" t="s">
        <v>19</v>
      </c>
      <c r="I393" t="s">
        <v>1265</v>
      </c>
      <c r="J393">
        <v>0</v>
      </c>
    </row>
    <row r="394" spans="1:10" x14ac:dyDescent="0.3">
      <c r="A394">
        <v>1021</v>
      </c>
      <c r="B394" t="s">
        <v>1266</v>
      </c>
      <c r="C394">
        <v>68</v>
      </c>
      <c r="E394" s="1">
        <v>45843</v>
      </c>
      <c r="F394" t="s">
        <v>1267</v>
      </c>
      <c r="G394" t="s">
        <v>1268</v>
      </c>
      <c r="H394" t="s">
        <v>19</v>
      </c>
      <c r="I394" t="s">
        <v>1269</v>
      </c>
      <c r="J394" t="s">
        <v>65</v>
      </c>
    </row>
    <row r="395" spans="1:10" x14ac:dyDescent="0.3">
      <c r="A395">
        <v>1100</v>
      </c>
      <c r="B395" t="s">
        <v>1270</v>
      </c>
      <c r="C395">
        <v>69</v>
      </c>
      <c r="D395">
        <v>1</v>
      </c>
      <c r="E395" s="1">
        <v>45879</v>
      </c>
      <c r="F395" s="1">
        <v>45796</v>
      </c>
      <c r="G395" t="s">
        <v>1271</v>
      </c>
      <c r="H395" t="s">
        <v>25</v>
      </c>
      <c r="I395" t="s">
        <v>1272</v>
      </c>
      <c r="J395" t="s">
        <v>31</v>
      </c>
    </row>
    <row r="396" spans="1:10" x14ac:dyDescent="0.3">
      <c r="A396">
        <v>1005</v>
      </c>
      <c r="B396" t="s">
        <v>1273</v>
      </c>
      <c r="C396">
        <v>80</v>
      </c>
      <c r="D396" t="s">
        <v>23</v>
      </c>
      <c r="E396" t="s">
        <v>1274</v>
      </c>
      <c r="F396" t="s">
        <v>1275</v>
      </c>
      <c r="G396" t="s">
        <v>1276</v>
      </c>
      <c r="H396" t="s">
        <v>29</v>
      </c>
      <c r="I396" t="s">
        <v>1277</v>
      </c>
      <c r="J396" t="s">
        <v>65</v>
      </c>
    </row>
    <row r="397" spans="1:10" x14ac:dyDescent="0.3">
      <c r="A397">
        <v>1071</v>
      </c>
      <c r="B397" t="s">
        <v>1278</v>
      </c>
      <c r="C397">
        <v>73</v>
      </c>
      <c r="D397">
        <v>1</v>
      </c>
      <c r="E397" s="2">
        <v>45893</v>
      </c>
      <c r="F397" s="2">
        <v>45842</v>
      </c>
      <c r="G397" t="s">
        <v>1279</v>
      </c>
      <c r="H397" t="s">
        <v>25</v>
      </c>
      <c r="I397" t="s">
        <v>1280</v>
      </c>
      <c r="J397" t="s">
        <v>31</v>
      </c>
    </row>
    <row r="398" spans="1:10" x14ac:dyDescent="0.3">
      <c r="A398">
        <v>1070</v>
      </c>
      <c r="B398" t="s">
        <v>258</v>
      </c>
      <c r="C398">
        <v>78</v>
      </c>
      <c r="D398" t="s">
        <v>23</v>
      </c>
      <c r="E398" t="s">
        <v>1281</v>
      </c>
      <c r="F398" s="2">
        <v>45621</v>
      </c>
      <c r="G398" t="s">
        <v>1282</v>
      </c>
      <c r="H398" t="s">
        <v>13</v>
      </c>
      <c r="I398" t="s">
        <v>1283</v>
      </c>
      <c r="J398">
        <v>0</v>
      </c>
    </row>
    <row r="399" spans="1:10" x14ac:dyDescent="0.3">
      <c r="A399">
        <v>1020</v>
      </c>
      <c r="B399" t="s">
        <v>1284</v>
      </c>
      <c r="C399">
        <v>65</v>
      </c>
      <c r="D399" t="s">
        <v>41</v>
      </c>
      <c r="E399" t="s">
        <v>1285</v>
      </c>
      <c r="F399" s="2">
        <v>46026</v>
      </c>
      <c r="G399" t="s">
        <v>1286</v>
      </c>
      <c r="H399" t="s">
        <v>13</v>
      </c>
      <c r="I399" t="s">
        <v>1287</v>
      </c>
      <c r="J399" t="s">
        <v>31</v>
      </c>
    </row>
    <row r="400" spans="1:10" x14ac:dyDescent="0.3">
      <c r="A400">
        <v>1074</v>
      </c>
      <c r="B400" t="s">
        <v>1288</v>
      </c>
      <c r="C400">
        <v>87</v>
      </c>
      <c r="D400" t="s">
        <v>23</v>
      </c>
      <c r="E400" s="2">
        <v>45961</v>
      </c>
      <c r="F400" t="s">
        <v>1289</v>
      </c>
      <c r="G400" t="s">
        <v>1290</v>
      </c>
      <c r="H400" t="s">
        <v>13</v>
      </c>
      <c r="I400" t="s">
        <v>1291</v>
      </c>
      <c r="J400" t="s">
        <v>39</v>
      </c>
    </row>
    <row r="401" spans="1:10" x14ac:dyDescent="0.3">
      <c r="A401">
        <v>1001</v>
      </c>
      <c r="B401" t="s">
        <v>1292</v>
      </c>
      <c r="C401">
        <v>78</v>
      </c>
      <c r="D401" t="s">
        <v>56</v>
      </c>
      <c r="E401" s="2">
        <v>45887</v>
      </c>
      <c r="F401" t="s">
        <v>1293</v>
      </c>
      <c r="G401" t="s">
        <v>1294</v>
      </c>
      <c r="H401" t="s">
        <v>25</v>
      </c>
      <c r="I401" t="s">
        <v>1295</v>
      </c>
      <c r="J401">
        <v>0</v>
      </c>
    </row>
    <row r="402" spans="1:10" x14ac:dyDescent="0.3">
      <c r="A402">
        <v>1067</v>
      </c>
      <c r="B402" t="s">
        <v>1296</v>
      </c>
      <c r="C402">
        <v>66</v>
      </c>
      <c r="E402" s="2">
        <v>45800</v>
      </c>
      <c r="F402" t="s">
        <v>1122</v>
      </c>
      <c r="G402" t="s">
        <v>1297</v>
      </c>
      <c r="H402" t="s">
        <v>13</v>
      </c>
      <c r="I402" t="s">
        <v>1298</v>
      </c>
      <c r="J402" t="s">
        <v>21</v>
      </c>
    </row>
    <row r="403" spans="1:10" x14ac:dyDescent="0.3">
      <c r="A403">
        <v>1074</v>
      </c>
      <c r="B403" t="s">
        <v>1299</v>
      </c>
      <c r="C403">
        <v>30</v>
      </c>
      <c r="D403" t="s">
        <v>11</v>
      </c>
      <c r="E403" s="2">
        <v>45994</v>
      </c>
      <c r="F403" t="s">
        <v>1300</v>
      </c>
      <c r="G403" t="s">
        <v>1301</v>
      </c>
      <c r="H403" t="s">
        <v>19</v>
      </c>
      <c r="I403" t="s">
        <v>1302</v>
      </c>
      <c r="J403" t="s">
        <v>39</v>
      </c>
    </row>
    <row r="404" spans="1:10" x14ac:dyDescent="0.3">
      <c r="A404">
        <v>1053</v>
      </c>
      <c r="B404" t="s">
        <v>1303</v>
      </c>
      <c r="C404">
        <v>76</v>
      </c>
      <c r="D404" t="s">
        <v>11</v>
      </c>
      <c r="E404" s="2">
        <v>45989</v>
      </c>
      <c r="F404" s="2">
        <v>45767</v>
      </c>
      <c r="G404" t="s">
        <v>1304</v>
      </c>
      <c r="H404" t="s">
        <v>29</v>
      </c>
      <c r="I404" t="s">
        <v>1305</v>
      </c>
      <c r="J404" t="s">
        <v>39</v>
      </c>
    </row>
    <row r="405" spans="1:10" x14ac:dyDescent="0.3">
      <c r="A405">
        <v>1020</v>
      </c>
      <c r="B405" t="s">
        <v>1306</v>
      </c>
      <c r="C405">
        <v>69</v>
      </c>
      <c r="D405" t="s">
        <v>41</v>
      </c>
      <c r="E405" s="1">
        <v>45756</v>
      </c>
      <c r="F405" s="2">
        <v>45704</v>
      </c>
      <c r="G405" t="s">
        <v>1307</v>
      </c>
      <c r="H405" t="s">
        <v>29</v>
      </c>
      <c r="I405" t="s">
        <v>1308</v>
      </c>
      <c r="J405" t="s">
        <v>31</v>
      </c>
    </row>
    <row r="406" spans="1:10" x14ac:dyDescent="0.3">
      <c r="A406">
        <v>1013</v>
      </c>
      <c r="B406" t="s">
        <v>1309</v>
      </c>
      <c r="C406">
        <v>27</v>
      </c>
      <c r="D406" t="s">
        <v>11</v>
      </c>
      <c r="E406" s="2">
        <v>46027</v>
      </c>
      <c r="F406" s="1">
        <v>45638</v>
      </c>
      <c r="G406" t="s">
        <v>1310</v>
      </c>
      <c r="H406" t="s">
        <v>25</v>
      </c>
      <c r="I406" t="s">
        <v>1311</v>
      </c>
      <c r="J406" t="s">
        <v>21</v>
      </c>
    </row>
    <row r="407" spans="1:10" x14ac:dyDescent="0.3">
      <c r="A407">
        <v>1027</v>
      </c>
      <c r="B407" t="s">
        <v>1312</v>
      </c>
      <c r="C407">
        <v>75</v>
      </c>
      <c r="D407" t="s">
        <v>76</v>
      </c>
      <c r="E407" s="2">
        <v>45761</v>
      </c>
      <c r="F407" s="1">
        <v>45463</v>
      </c>
      <c r="G407" t="s">
        <v>1313</v>
      </c>
      <c r="H407" t="s">
        <v>19</v>
      </c>
      <c r="I407" t="s">
        <v>1314</v>
      </c>
      <c r="J407">
        <v>0</v>
      </c>
    </row>
    <row r="408" spans="1:10" x14ac:dyDescent="0.3">
      <c r="A408">
        <v>1070</v>
      </c>
      <c r="B408" t="s">
        <v>1315</v>
      </c>
      <c r="C408">
        <v>58</v>
      </c>
      <c r="D408" t="s">
        <v>16</v>
      </c>
      <c r="E408" s="2">
        <v>45992</v>
      </c>
      <c r="F408" s="2">
        <v>45655</v>
      </c>
      <c r="G408" t="s">
        <v>1316</v>
      </c>
      <c r="H408" t="s">
        <v>29</v>
      </c>
      <c r="I408" t="s">
        <v>1317</v>
      </c>
      <c r="J408">
        <v>0</v>
      </c>
    </row>
    <row r="409" spans="1:10" x14ac:dyDescent="0.3">
      <c r="A409">
        <v>1050</v>
      </c>
      <c r="B409" t="s">
        <v>1318</v>
      </c>
      <c r="C409">
        <v>61</v>
      </c>
      <c r="D409" t="s">
        <v>41</v>
      </c>
      <c r="E409" s="1">
        <v>45827</v>
      </c>
      <c r="F409" s="2">
        <v>45536</v>
      </c>
      <c r="G409" t="s">
        <v>1319</v>
      </c>
      <c r="H409" t="s">
        <v>25</v>
      </c>
      <c r="I409" t="s">
        <v>1320</v>
      </c>
      <c r="J409">
        <v>0</v>
      </c>
    </row>
    <row r="410" spans="1:10" x14ac:dyDescent="0.3">
      <c r="A410">
        <v>1010</v>
      </c>
      <c r="B410" t="s">
        <v>1321</v>
      </c>
      <c r="C410">
        <v>68</v>
      </c>
      <c r="D410" t="s">
        <v>41</v>
      </c>
      <c r="E410" s="2">
        <v>45842</v>
      </c>
      <c r="F410" s="2">
        <v>45596</v>
      </c>
      <c r="G410" t="s">
        <v>1322</v>
      </c>
      <c r="H410" t="s">
        <v>29</v>
      </c>
      <c r="I410" t="s">
        <v>1323</v>
      </c>
      <c r="J410">
        <v>1</v>
      </c>
    </row>
    <row r="411" spans="1:10" x14ac:dyDescent="0.3">
      <c r="A411">
        <v>1017</v>
      </c>
      <c r="B411" t="s">
        <v>1324</v>
      </c>
      <c r="C411">
        <v>43</v>
      </c>
      <c r="D411">
        <v>0</v>
      </c>
      <c r="E411" s="2">
        <v>45795</v>
      </c>
      <c r="F411" t="s">
        <v>1325</v>
      </c>
      <c r="G411" t="s">
        <v>1326</v>
      </c>
      <c r="H411" t="s">
        <v>19</v>
      </c>
      <c r="I411" t="s">
        <v>1327</v>
      </c>
      <c r="J411" t="s">
        <v>31</v>
      </c>
    </row>
    <row r="412" spans="1:10" x14ac:dyDescent="0.3">
      <c r="A412">
        <v>1085</v>
      </c>
      <c r="B412" t="s">
        <v>1328</v>
      </c>
      <c r="C412">
        <v>62</v>
      </c>
      <c r="D412">
        <v>0</v>
      </c>
      <c r="E412" s="2">
        <v>45968</v>
      </c>
      <c r="F412" s="2">
        <v>45515</v>
      </c>
      <c r="G412" t="s">
        <v>1329</v>
      </c>
      <c r="H412" t="s">
        <v>13</v>
      </c>
      <c r="I412" t="s">
        <v>1330</v>
      </c>
      <c r="J412" t="s">
        <v>65</v>
      </c>
    </row>
    <row r="413" spans="1:10" x14ac:dyDescent="0.3">
      <c r="A413">
        <v>1023</v>
      </c>
      <c r="B413" t="s">
        <v>1331</v>
      </c>
      <c r="C413">
        <v>45</v>
      </c>
      <c r="D413" t="s">
        <v>56</v>
      </c>
      <c r="E413" t="s">
        <v>1332</v>
      </c>
      <c r="F413" s="2">
        <v>45729</v>
      </c>
      <c r="G413" t="s">
        <v>1333</v>
      </c>
      <c r="H413" t="s">
        <v>13</v>
      </c>
      <c r="I413" t="s">
        <v>1334</v>
      </c>
      <c r="J413" t="s">
        <v>39</v>
      </c>
    </row>
    <row r="414" spans="1:10" x14ac:dyDescent="0.3">
      <c r="A414">
        <v>1066</v>
      </c>
      <c r="B414" t="s">
        <v>1335</v>
      </c>
      <c r="C414">
        <v>85</v>
      </c>
      <c r="D414" t="s">
        <v>11</v>
      </c>
      <c r="E414" s="1">
        <v>46000</v>
      </c>
      <c r="F414" s="2">
        <v>45687</v>
      </c>
      <c r="G414" t="s">
        <v>1336</v>
      </c>
      <c r="H414" t="s">
        <v>29</v>
      </c>
      <c r="I414" t="s">
        <v>1337</v>
      </c>
      <c r="J414" t="s">
        <v>21</v>
      </c>
    </row>
    <row r="415" spans="1:10" x14ac:dyDescent="0.3">
      <c r="A415">
        <v>1038</v>
      </c>
      <c r="B415" t="s">
        <v>1338</v>
      </c>
      <c r="C415">
        <v>72</v>
      </c>
      <c r="D415" t="s">
        <v>41</v>
      </c>
      <c r="E415" s="1">
        <v>45896</v>
      </c>
      <c r="F415" s="2">
        <v>45633</v>
      </c>
      <c r="G415" t="s">
        <v>1339</v>
      </c>
      <c r="H415" t="s">
        <v>25</v>
      </c>
      <c r="I415" t="s">
        <v>1340</v>
      </c>
      <c r="J415" t="s">
        <v>39</v>
      </c>
    </row>
    <row r="416" spans="1:10" x14ac:dyDescent="0.3">
      <c r="A416">
        <v>1048</v>
      </c>
      <c r="B416" t="s">
        <v>1341</v>
      </c>
      <c r="C416">
        <v>63</v>
      </c>
      <c r="D416" t="s">
        <v>41</v>
      </c>
      <c r="E416" s="2">
        <v>45945</v>
      </c>
      <c r="F416" s="1">
        <v>45690</v>
      </c>
      <c r="G416" t="s">
        <v>1342</v>
      </c>
      <c r="H416" t="s">
        <v>13</v>
      </c>
      <c r="I416" t="s">
        <v>1343</v>
      </c>
      <c r="J416" t="s">
        <v>21</v>
      </c>
    </row>
    <row r="417" spans="1:10" x14ac:dyDescent="0.3">
      <c r="A417">
        <v>1082</v>
      </c>
      <c r="B417" t="s">
        <v>1344</v>
      </c>
      <c r="C417">
        <v>67</v>
      </c>
      <c r="D417">
        <v>0</v>
      </c>
      <c r="E417" s="2">
        <v>45857</v>
      </c>
      <c r="F417" s="1">
        <v>45394</v>
      </c>
      <c r="G417" t="s">
        <v>1345</v>
      </c>
      <c r="H417" t="s">
        <v>29</v>
      </c>
      <c r="I417" t="s">
        <v>1346</v>
      </c>
      <c r="J417" t="s">
        <v>39</v>
      </c>
    </row>
    <row r="418" spans="1:10" x14ac:dyDescent="0.3">
      <c r="A418">
        <v>1085</v>
      </c>
      <c r="B418" t="s">
        <v>1347</v>
      </c>
      <c r="C418">
        <v>69</v>
      </c>
      <c r="D418">
        <v>1</v>
      </c>
      <c r="E418" t="s">
        <v>52</v>
      </c>
      <c r="F418" s="2">
        <v>45462</v>
      </c>
      <c r="G418" t="s">
        <v>1348</v>
      </c>
      <c r="H418" t="s">
        <v>29</v>
      </c>
      <c r="I418" t="s">
        <v>1349</v>
      </c>
      <c r="J418" t="s">
        <v>65</v>
      </c>
    </row>
    <row r="419" spans="1:10" x14ac:dyDescent="0.3">
      <c r="A419">
        <v>1046</v>
      </c>
      <c r="B419" t="s">
        <v>1350</v>
      </c>
      <c r="C419">
        <v>24</v>
      </c>
      <c r="D419" t="s">
        <v>16</v>
      </c>
      <c r="E419" s="1">
        <v>45857</v>
      </c>
      <c r="F419" s="2">
        <v>45533</v>
      </c>
      <c r="G419" t="s">
        <v>1351</v>
      </c>
      <c r="H419" t="s">
        <v>19</v>
      </c>
      <c r="I419" t="s">
        <v>1352</v>
      </c>
      <c r="J419">
        <v>0</v>
      </c>
    </row>
    <row r="420" spans="1:10" x14ac:dyDescent="0.3">
      <c r="A420">
        <v>1093</v>
      </c>
      <c r="B420" t="s">
        <v>1353</v>
      </c>
      <c r="C420">
        <v>87</v>
      </c>
      <c r="D420" t="s">
        <v>16</v>
      </c>
      <c r="E420" s="2">
        <v>46044</v>
      </c>
      <c r="F420" s="1">
        <v>45362</v>
      </c>
      <c r="G420" t="s">
        <v>1354</v>
      </c>
      <c r="H420" t="s">
        <v>19</v>
      </c>
      <c r="I420" t="s">
        <v>1355</v>
      </c>
      <c r="J420">
        <v>0</v>
      </c>
    </row>
    <row r="421" spans="1:10" x14ac:dyDescent="0.3">
      <c r="A421">
        <v>1072</v>
      </c>
      <c r="B421" t="s">
        <v>1356</v>
      </c>
      <c r="C421">
        <v>68</v>
      </c>
      <c r="D421">
        <v>1</v>
      </c>
      <c r="E421" s="2">
        <v>46032</v>
      </c>
      <c r="F421" s="1">
        <v>45911</v>
      </c>
      <c r="G421" t="s">
        <v>1357</v>
      </c>
      <c r="H421" t="s">
        <v>13</v>
      </c>
      <c r="I421" t="s">
        <v>1358</v>
      </c>
      <c r="J421" t="s">
        <v>65</v>
      </c>
    </row>
    <row r="422" spans="1:10" x14ac:dyDescent="0.3">
      <c r="A422">
        <v>1089</v>
      </c>
      <c r="B422" t="s">
        <v>1359</v>
      </c>
      <c r="C422">
        <v>80</v>
      </c>
      <c r="D422">
        <v>1</v>
      </c>
      <c r="E422" s="1">
        <v>45912</v>
      </c>
      <c r="F422" t="s">
        <v>1360</v>
      </c>
      <c r="G422" t="s">
        <v>1361</v>
      </c>
      <c r="H422" t="s">
        <v>13</v>
      </c>
      <c r="I422" t="s">
        <v>1362</v>
      </c>
      <c r="J422">
        <v>0</v>
      </c>
    </row>
    <row r="423" spans="1:10" x14ac:dyDescent="0.3">
      <c r="A423">
        <v>1007</v>
      </c>
      <c r="B423" t="s">
        <v>1363</v>
      </c>
      <c r="C423">
        <v>39</v>
      </c>
      <c r="D423" t="s">
        <v>41</v>
      </c>
      <c r="E423" s="2">
        <v>46031</v>
      </c>
      <c r="F423" s="1">
        <v>45513</v>
      </c>
      <c r="G423" t="s">
        <v>1364</v>
      </c>
      <c r="H423" t="s">
        <v>13</v>
      </c>
      <c r="I423" t="s">
        <v>1365</v>
      </c>
      <c r="J423">
        <v>0</v>
      </c>
    </row>
    <row r="424" spans="1:10" x14ac:dyDescent="0.3">
      <c r="A424">
        <v>1030</v>
      </c>
      <c r="B424" t="s">
        <v>1366</v>
      </c>
      <c r="C424">
        <v>18</v>
      </c>
      <c r="D424" t="s">
        <v>23</v>
      </c>
      <c r="E424" t="s">
        <v>1367</v>
      </c>
      <c r="F424" s="1">
        <v>45847</v>
      </c>
      <c r="G424" t="s">
        <v>1368</v>
      </c>
      <c r="H424" t="s">
        <v>19</v>
      </c>
      <c r="I424" t="s">
        <v>1369</v>
      </c>
      <c r="J424">
        <v>1</v>
      </c>
    </row>
    <row r="425" spans="1:10" x14ac:dyDescent="0.3">
      <c r="A425">
        <v>1088</v>
      </c>
      <c r="B425" t="s">
        <v>1370</v>
      </c>
      <c r="C425">
        <v>80</v>
      </c>
      <c r="D425" t="s">
        <v>23</v>
      </c>
      <c r="E425" s="2">
        <v>46087</v>
      </c>
      <c r="F425" s="2">
        <v>45826</v>
      </c>
      <c r="G425" t="s">
        <v>1371</v>
      </c>
      <c r="H425" t="s">
        <v>13</v>
      </c>
      <c r="I425" t="s">
        <v>1372</v>
      </c>
      <c r="J425" t="s">
        <v>21</v>
      </c>
    </row>
    <row r="426" spans="1:10" x14ac:dyDescent="0.3">
      <c r="A426">
        <v>1077</v>
      </c>
      <c r="B426" t="s">
        <v>1373</v>
      </c>
      <c r="C426">
        <v>30</v>
      </c>
      <c r="D426" t="s">
        <v>56</v>
      </c>
      <c r="E426" s="1">
        <v>45882</v>
      </c>
      <c r="F426" s="1">
        <v>45932</v>
      </c>
      <c r="G426" t="s">
        <v>1374</v>
      </c>
      <c r="H426" t="s">
        <v>13</v>
      </c>
      <c r="I426" t="s">
        <v>1375</v>
      </c>
      <c r="J426">
        <v>1</v>
      </c>
    </row>
    <row r="427" spans="1:10" x14ac:dyDescent="0.3">
      <c r="A427">
        <v>1019</v>
      </c>
      <c r="B427" t="s">
        <v>1376</v>
      </c>
      <c r="C427">
        <v>33</v>
      </c>
      <c r="D427" t="s">
        <v>11</v>
      </c>
      <c r="E427" s="2">
        <v>45821</v>
      </c>
      <c r="F427" s="2">
        <v>45452</v>
      </c>
      <c r="G427" t="s">
        <v>1377</v>
      </c>
      <c r="H427" t="s">
        <v>29</v>
      </c>
      <c r="J427" t="s">
        <v>31</v>
      </c>
    </row>
    <row r="428" spans="1:10" x14ac:dyDescent="0.3">
      <c r="A428">
        <v>1065</v>
      </c>
      <c r="B428" t="s">
        <v>1378</v>
      </c>
      <c r="C428">
        <v>31</v>
      </c>
      <c r="D428">
        <v>1</v>
      </c>
      <c r="E428" s="1">
        <v>46085</v>
      </c>
      <c r="F428" t="s">
        <v>1379</v>
      </c>
      <c r="G428" t="s">
        <v>1380</v>
      </c>
      <c r="H428" t="s">
        <v>19</v>
      </c>
      <c r="I428" t="s">
        <v>1381</v>
      </c>
      <c r="J428" t="s">
        <v>21</v>
      </c>
    </row>
    <row r="429" spans="1:10" x14ac:dyDescent="0.3">
      <c r="A429">
        <v>1081</v>
      </c>
      <c r="B429" t="s">
        <v>1382</v>
      </c>
      <c r="C429">
        <v>27</v>
      </c>
      <c r="D429">
        <v>0</v>
      </c>
      <c r="E429" s="2">
        <v>45854</v>
      </c>
      <c r="F429" t="s">
        <v>1383</v>
      </c>
      <c r="G429" t="s">
        <v>1384</v>
      </c>
      <c r="H429" t="s">
        <v>19</v>
      </c>
      <c r="I429" t="s">
        <v>1385</v>
      </c>
      <c r="J429" t="s">
        <v>39</v>
      </c>
    </row>
    <row r="430" spans="1:10" x14ac:dyDescent="0.3">
      <c r="A430">
        <v>1058</v>
      </c>
      <c r="B430" t="s">
        <v>1386</v>
      </c>
      <c r="C430">
        <v>21</v>
      </c>
      <c r="D430">
        <v>0</v>
      </c>
      <c r="E430" t="s">
        <v>1387</v>
      </c>
      <c r="F430" s="2">
        <v>45739</v>
      </c>
      <c r="G430" t="s">
        <v>1388</v>
      </c>
      <c r="H430" t="s">
        <v>13</v>
      </c>
      <c r="I430" t="s">
        <v>1389</v>
      </c>
      <c r="J430">
        <v>0</v>
      </c>
    </row>
    <row r="431" spans="1:10" x14ac:dyDescent="0.3">
      <c r="A431">
        <v>1034</v>
      </c>
      <c r="B431" t="s">
        <v>1390</v>
      </c>
      <c r="C431">
        <v>75</v>
      </c>
      <c r="D431" t="s">
        <v>16</v>
      </c>
      <c r="E431" s="2">
        <v>45813</v>
      </c>
      <c r="F431" t="s">
        <v>1391</v>
      </c>
      <c r="G431" t="s">
        <v>1392</v>
      </c>
      <c r="H431" t="s">
        <v>13</v>
      </c>
      <c r="I431" t="s">
        <v>1393</v>
      </c>
      <c r="J431">
        <v>1</v>
      </c>
    </row>
    <row r="432" spans="1:10" x14ac:dyDescent="0.3">
      <c r="A432">
        <v>1068</v>
      </c>
      <c r="B432" t="s">
        <v>1394</v>
      </c>
      <c r="C432">
        <v>61</v>
      </c>
      <c r="D432" t="s">
        <v>11</v>
      </c>
      <c r="E432" s="2">
        <v>46006</v>
      </c>
      <c r="F432" s="1">
        <v>45483</v>
      </c>
      <c r="G432" t="s">
        <v>1395</v>
      </c>
      <c r="H432" t="s">
        <v>25</v>
      </c>
      <c r="J432">
        <v>1</v>
      </c>
    </row>
    <row r="433" spans="1:10" x14ac:dyDescent="0.3">
      <c r="A433">
        <v>1030</v>
      </c>
      <c r="B433" t="s">
        <v>1396</v>
      </c>
      <c r="C433">
        <v>80</v>
      </c>
      <c r="D433" t="s">
        <v>56</v>
      </c>
      <c r="E433" s="1">
        <v>46297</v>
      </c>
      <c r="F433" s="2">
        <v>45674</v>
      </c>
      <c r="G433" t="s">
        <v>1397</v>
      </c>
      <c r="H433" t="s">
        <v>13</v>
      </c>
      <c r="I433" t="s">
        <v>1398</v>
      </c>
      <c r="J433" t="s">
        <v>65</v>
      </c>
    </row>
    <row r="434" spans="1:10" x14ac:dyDescent="0.3">
      <c r="A434">
        <v>1013</v>
      </c>
      <c r="B434" t="s">
        <v>1399</v>
      </c>
      <c r="C434">
        <v>86</v>
      </c>
      <c r="D434" t="s">
        <v>56</v>
      </c>
      <c r="E434" s="2">
        <v>45907</v>
      </c>
      <c r="F434" s="2">
        <v>45668</v>
      </c>
      <c r="G434" t="s">
        <v>1400</v>
      </c>
      <c r="H434" t="s">
        <v>25</v>
      </c>
      <c r="I434" t="s">
        <v>1401</v>
      </c>
      <c r="J434">
        <v>0</v>
      </c>
    </row>
    <row r="435" spans="1:10" x14ac:dyDescent="0.3">
      <c r="A435">
        <v>1092</v>
      </c>
      <c r="B435" t="s">
        <v>1402</v>
      </c>
      <c r="C435">
        <v>42</v>
      </c>
      <c r="D435" t="s">
        <v>23</v>
      </c>
      <c r="E435" s="2">
        <v>45767</v>
      </c>
      <c r="F435" s="1">
        <v>45574</v>
      </c>
      <c r="G435" t="s">
        <v>1403</v>
      </c>
      <c r="H435" t="s">
        <v>13</v>
      </c>
      <c r="I435" t="s">
        <v>1404</v>
      </c>
      <c r="J435">
        <v>1</v>
      </c>
    </row>
    <row r="436" spans="1:10" x14ac:dyDescent="0.3">
      <c r="A436">
        <v>1027</v>
      </c>
      <c r="B436" t="s">
        <v>1405</v>
      </c>
      <c r="C436">
        <v>63</v>
      </c>
      <c r="D436" t="s">
        <v>23</v>
      </c>
      <c r="E436" s="1">
        <v>45907</v>
      </c>
      <c r="F436" s="2">
        <v>45504</v>
      </c>
      <c r="G436" t="s">
        <v>1406</v>
      </c>
      <c r="H436" t="s">
        <v>19</v>
      </c>
      <c r="I436" t="s">
        <v>1407</v>
      </c>
      <c r="J436" t="s">
        <v>21</v>
      </c>
    </row>
    <row r="437" spans="1:10" x14ac:dyDescent="0.3">
      <c r="A437">
        <v>1067</v>
      </c>
      <c r="B437" t="s">
        <v>894</v>
      </c>
      <c r="C437">
        <v>54</v>
      </c>
      <c r="D437" t="s">
        <v>41</v>
      </c>
      <c r="E437" s="2">
        <v>45911</v>
      </c>
      <c r="F437" s="1">
        <v>45905</v>
      </c>
      <c r="G437" t="s">
        <v>1408</v>
      </c>
      <c r="H437" t="s">
        <v>13</v>
      </c>
      <c r="I437" t="s">
        <v>1409</v>
      </c>
      <c r="J437">
        <v>0</v>
      </c>
    </row>
    <row r="438" spans="1:10" x14ac:dyDescent="0.3">
      <c r="A438">
        <v>1059</v>
      </c>
      <c r="B438" t="s">
        <v>1410</v>
      </c>
      <c r="C438">
        <v>34</v>
      </c>
      <c r="D438" t="s">
        <v>76</v>
      </c>
      <c r="E438" s="2">
        <v>45910</v>
      </c>
      <c r="F438" s="1">
        <v>45595</v>
      </c>
      <c r="G438" t="s">
        <v>1411</v>
      </c>
      <c r="H438" t="s">
        <v>25</v>
      </c>
      <c r="I438" t="s">
        <v>1412</v>
      </c>
      <c r="J438" t="s">
        <v>39</v>
      </c>
    </row>
    <row r="439" spans="1:10" x14ac:dyDescent="0.3">
      <c r="A439">
        <v>1040</v>
      </c>
      <c r="B439" t="s">
        <v>1413</v>
      </c>
      <c r="C439">
        <v>22</v>
      </c>
      <c r="D439" t="s">
        <v>41</v>
      </c>
      <c r="E439" s="1">
        <v>46006</v>
      </c>
      <c r="F439" t="s">
        <v>354</v>
      </c>
      <c r="G439" t="s">
        <v>1414</v>
      </c>
      <c r="H439" t="s">
        <v>19</v>
      </c>
      <c r="I439" t="s">
        <v>1415</v>
      </c>
      <c r="J439" t="s">
        <v>65</v>
      </c>
    </row>
    <row r="440" spans="1:10" x14ac:dyDescent="0.3">
      <c r="A440">
        <v>1058</v>
      </c>
      <c r="B440" t="s">
        <v>1416</v>
      </c>
      <c r="C440">
        <v>84</v>
      </c>
      <c r="D440" t="s">
        <v>11</v>
      </c>
      <c r="E440" t="s">
        <v>439</v>
      </c>
      <c r="F440" s="1">
        <v>45743</v>
      </c>
      <c r="G440" t="s">
        <v>1417</v>
      </c>
      <c r="H440" t="s">
        <v>25</v>
      </c>
      <c r="I440" t="s">
        <v>1418</v>
      </c>
      <c r="J440" t="s">
        <v>39</v>
      </c>
    </row>
    <row r="441" spans="1:10" x14ac:dyDescent="0.3">
      <c r="A441">
        <v>1080</v>
      </c>
      <c r="B441" t="s">
        <v>1419</v>
      </c>
      <c r="C441">
        <v>45</v>
      </c>
      <c r="D441" t="s">
        <v>41</v>
      </c>
      <c r="E441" s="1">
        <v>45972</v>
      </c>
      <c r="F441" s="2">
        <v>45818</v>
      </c>
      <c r="G441" t="s">
        <v>1420</v>
      </c>
      <c r="H441" t="s">
        <v>13</v>
      </c>
      <c r="I441" t="s">
        <v>1421</v>
      </c>
      <c r="J441">
        <v>0</v>
      </c>
    </row>
    <row r="442" spans="1:10" x14ac:dyDescent="0.3">
      <c r="A442">
        <v>1026</v>
      </c>
      <c r="B442" t="s">
        <v>1422</v>
      </c>
      <c r="C442">
        <v>47</v>
      </c>
      <c r="D442" t="s">
        <v>41</v>
      </c>
      <c r="E442" t="s">
        <v>1110</v>
      </c>
      <c r="F442" s="1">
        <v>45421</v>
      </c>
      <c r="G442" t="s">
        <v>1423</v>
      </c>
      <c r="H442" t="s">
        <v>13</v>
      </c>
      <c r="I442" t="s">
        <v>1424</v>
      </c>
      <c r="J442" t="s">
        <v>31</v>
      </c>
    </row>
    <row r="443" spans="1:10" x14ac:dyDescent="0.3">
      <c r="A443">
        <v>1058</v>
      </c>
      <c r="B443" t="s">
        <v>1425</v>
      </c>
      <c r="C443">
        <v>88</v>
      </c>
      <c r="E443" s="1">
        <v>45949</v>
      </c>
      <c r="F443" s="2">
        <v>45612</v>
      </c>
      <c r="G443" t="s">
        <v>1426</v>
      </c>
      <c r="H443" t="s">
        <v>25</v>
      </c>
      <c r="I443" t="s">
        <v>1427</v>
      </c>
      <c r="J443" t="s">
        <v>65</v>
      </c>
    </row>
    <row r="444" spans="1:10" x14ac:dyDescent="0.3">
      <c r="A444">
        <v>1065</v>
      </c>
      <c r="B444" t="s">
        <v>1428</v>
      </c>
      <c r="C444">
        <v>28</v>
      </c>
      <c r="D444" t="s">
        <v>56</v>
      </c>
      <c r="E444" t="s">
        <v>1429</v>
      </c>
      <c r="F444" t="s">
        <v>1430</v>
      </c>
      <c r="G444" t="s">
        <v>1431</v>
      </c>
      <c r="H444" t="s">
        <v>25</v>
      </c>
      <c r="I444" t="s">
        <v>1432</v>
      </c>
      <c r="J444">
        <v>1</v>
      </c>
    </row>
    <row r="445" spans="1:10" x14ac:dyDescent="0.3">
      <c r="A445">
        <v>1016</v>
      </c>
      <c r="B445" t="s">
        <v>1433</v>
      </c>
      <c r="C445">
        <v>42</v>
      </c>
      <c r="D445">
        <v>1</v>
      </c>
      <c r="E445" s="1">
        <v>45966</v>
      </c>
      <c r="F445" s="2">
        <v>45507</v>
      </c>
      <c r="G445" t="s">
        <v>1434</v>
      </c>
      <c r="H445" t="s">
        <v>29</v>
      </c>
      <c r="J445" t="s">
        <v>21</v>
      </c>
    </row>
    <row r="446" spans="1:10" x14ac:dyDescent="0.3">
      <c r="A446">
        <v>1064</v>
      </c>
      <c r="B446" t="s">
        <v>1435</v>
      </c>
      <c r="C446">
        <v>27</v>
      </c>
      <c r="D446" t="s">
        <v>41</v>
      </c>
      <c r="E446" s="2">
        <v>46073</v>
      </c>
      <c r="F446" s="2">
        <v>45844</v>
      </c>
      <c r="G446" t="s">
        <v>1436</v>
      </c>
      <c r="H446" t="s">
        <v>29</v>
      </c>
      <c r="I446" t="s">
        <v>1437</v>
      </c>
      <c r="J446" t="s">
        <v>39</v>
      </c>
    </row>
    <row r="447" spans="1:10" x14ac:dyDescent="0.3">
      <c r="A447">
        <v>1036</v>
      </c>
      <c r="B447" t="s">
        <v>1438</v>
      </c>
      <c r="C447">
        <v>59</v>
      </c>
      <c r="D447">
        <v>1</v>
      </c>
      <c r="E447" s="2">
        <v>45946</v>
      </c>
      <c r="F447" t="s">
        <v>1439</v>
      </c>
      <c r="G447" t="s">
        <v>1440</v>
      </c>
      <c r="H447" t="s">
        <v>13</v>
      </c>
      <c r="I447" t="s">
        <v>1441</v>
      </c>
      <c r="J447" t="s">
        <v>39</v>
      </c>
    </row>
    <row r="448" spans="1:10" x14ac:dyDescent="0.3">
      <c r="A448">
        <v>1017</v>
      </c>
      <c r="B448" t="s">
        <v>1442</v>
      </c>
      <c r="C448">
        <v>34</v>
      </c>
      <c r="D448" t="s">
        <v>41</v>
      </c>
      <c r="E448" t="s">
        <v>1443</v>
      </c>
      <c r="F448" s="1">
        <v>45791</v>
      </c>
      <c r="G448" t="s">
        <v>1444</v>
      </c>
      <c r="H448" t="s">
        <v>29</v>
      </c>
      <c r="I448" t="s">
        <v>1445</v>
      </c>
      <c r="J448" t="s">
        <v>65</v>
      </c>
    </row>
    <row r="449" spans="1:10" x14ac:dyDescent="0.3">
      <c r="A449">
        <v>1005</v>
      </c>
      <c r="B449" t="s">
        <v>1446</v>
      </c>
      <c r="C449">
        <v>69</v>
      </c>
      <c r="D449" t="s">
        <v>76</v>
      </c>
      <c r="E449" s="2">
        <v>45936</v>
      </c>
      <c r="F449" s="1">
        <v>45625</v>
      </c>
      <c r="G449" t="s">
        <v>1447</v>
      </c>
      <c r="H449" t="s">
        <v>25</v>
      </c>
      <c r="I449" t="s">
        <v>1448</v>
      </c>
      <c r="J449" t="s">
        <v>39</v>
      </c>
    </row>
    <row r="450" spans="1:10" x14ac:dyDescent="0.3">
      <c r="A450">
        <v>1086</v>
      </c>
      <c r="B450" t="s">
        <v>1449</v>
      </c>
      <c r="C450">
        <v>84</v>
      </c>
      <c r="D450">
        <v>1</v>
      </c>
      <c r="E450" t="s">
        <v>1450</v>
      </c>
      <c r="F450" t="s">
        <v>1451</v>
      </c>
      <c r="G450" t="s">
        <v>1452</v>
      </c>
      <c r="H450" t="s">
        <v>29</v>
      </c>
      <c r="I450" t="s">
        <v>1453</v>
      </c>
      <c r="J450" t="s">
        <v>21</v>
      </c>
    </row>
    <row r="451" spans="1:10" x14ac:dyDescent="0.3">
      <c r="A451">
        <v>1095</v>
      </c>
      <c r="B451" t="s">
        <v>1454</v>
      </c>
      <c r="C451">
        <v>37</v>
      </c>
      <c r="D451">
        <v>1</v>
      </c>
      <c r="E451" t="s">
        <v>1455</v>
      </c>
      <c r="F451" s="1">
        <v>45432</v>
      </c>
      <c r="G451" t="s">
        <v>1456</v>
      </c>
      <c r="H451" t="s">
        <v>19</v>
      </c>
      <c r="I451" t="s">
        <v>1457</v>
      </c>
      <c r="J451" t="s">
        <v>39</v>
      </c>
    </row>
    <row r="452" spans="1:10" x14ac:dyDescent="0.3">
      <c r="A452">
        <v>1030</v>
      </c>
      <c r="B452" t="s">
        <v>1458</v>
      </c>
      <c r="C452">
        <v>25</v>
      </c>
      <c r="D452" t="s">
        <v>16</v>
      </c>
      <c r="E452" t="s">
        <v>268</v>
      </c>
      <c r="F452" t="s">
        <v>1055</v>
      </c>
      <c r="G452" t="s">
        <v>1459</v>
      </c>
      <c r="H452" t="s">
        <v>19</v>
      </c>
      <c r="I452" t="s">
        <v>1460</v>
      </c>
      <c r="J452" t="s">
        <v>31</v>
      </c>
    </row>
    <row r="453" spans="1:10" x14ac:dyDescent="0.3">
      <c r="A453">
        <v>1059</v>
      </c>
      <c r="B453" t="s">
        <v>1461</v>
      </c>
      <c r="C453">
        <v>84</v>
      </c>
      <c r="D453" t="s">
        <v>11</v>
      </c>
      <c r="E453" s="2">
        <v>46097</v>
      </c>
      <c r="F453" s="2">
        <v>45630</v>
      </c>
      <c r="G453" t="s">
        <v>1462</v>
      </c>
      <c r="H453" t="s">
        <v>25</v>
      </c>
      <c r="I453" t="s">
        <v>1463</v>
      </c>
      <c r="J453" t="s">
        <v>39</v>
      </c>
    </row>
    <row r="454" spans="1:10" x14ac:dyDescent="0.3">
      <c r="A454">
        <v>1012</v>
      </c>
      <c r="B454" t="s">
        <v>1464</v>
      </c>
      <c r="C454">
        <v>30</v>
      </c>
      <c r="D454">
        <v>0</v>
      </c>
      <c r="E454" s="2">
        <v>46030</v>
      </c>
      <c r="F454" s="2">
        <v>45888</v>
      </c>
      <c r="G454" t="s">
        <v>1465</v>
      </c>
      <c r="H454" t="s">
        <v>13</v>
      </c>
      <c r="I454" t="s">
        <v>1466</v>
      </c>
      <c r="J454" t="s">
        <v>21</v>
      </c>
    </row>
    <row r="455" spans="1:10" x14ac:dyDescent="0.3">
      <c r="A455">
        <v>1074</v>
      </c>
      <c r="B455" t="s">
        <v>1467</v>
      </c>
      <c r="C455">
        <v>64</v>
      </c>
      <c r="D455" t="s">
        <v>56</v>
      </c>
      <c r="E455" t="s">
        <v>226</v>
      </c>
      <c r="F455" s="2">
        <v>45571</v>
      </c>
      <c r="G455" t="s">
        <v>1468</v>
      </c>
      <c r="H455" t="s">
        <v>29</v>
      </c>
      <c r="I455" t="s">
        <v>1469</v>
      </c>
      <c r="J455" t="s">
        <v>31</v>
      </c>
    </row>
    <row r="456" spans="1:10" x14ac:dyDescent="0.3">
      <c r="A456">
        <v>1082</v>
      </c>
      <c r="B456" t="s">
        <v>1470</v>
      </c>
      <c r="C456">
        <v>33</v>
      </c>
      <c r="D456" t="s">
        <v>76</v>
      </c>
      <c r="E456" s="2">
        <v>45819</v>
      </c>
      <c r="F456" t="s">
        <v>1471</v>
      </c>
      <c r="G456" t="s">
        <v>1472</v>
      </c>
      <c r="H456" t="s">
        <v>25</v>
      </c>
      <c r="I456" t="s">
        <v>1473</v>
      </c>
      <c r="J456" t="s">
        <v>39</v>
      </c>
    </row>
    <row r="457" spans="1:10" x14ac:dyDescent="0.3">
      <c r="A457">
        <v>1009</v>
      </c>
      <c r="B457" t="s">
        <v>1474</v>
      </c>
      <c r="C457">
        <v>63</v>
      </c>
      <c r="D457" t="s">
        <v>76</v>
      </c>
      <c r="E457" s="2">
        <v>46070</v>
      </c>
      <c r="F457" s="2">
        <v>46033</v>
      </c>
      <c r="G457" t="s">
        <v>1475</v>
      </c>
      <c r="H457" t="s">
        <v>13</v>
      </c>
      <c r="I457" t="s">
        <v>1476</v>
      </c>
      <c r="J457" t="s">
        <v>65</v>
      </c>
    </row>
    <row r="458" spans="1:10" x14ac:dyDescent="0.3">
      <c r="A458">
        <v>1091</v>
      </c>
      <c r="B458" t="s">
        <v>1477</v>
      </c>
      <c r="C458">
        <v>86</v>
      </c>
      <c r="D458" t="s">
        <v>56</v>
      </c>
      <c r="E458" s="2">
        <v>46014</v>
      </c>
      <c r="F458" t="s">
        <v>1478</v>
      </c>
      <c r="G458" t="s">
        <v>1479</v>
      </c>
      <c r="H458" t="s">
        <v>29</v>
      </c>
      <c r="I458" t="s">
        <v>1480</v>
      </c>
      <c r="J458">
        <v>0</v>
      </c>
    </row>
    <row r="459" spans="1:10" x14ac:dyDescent="0.3">
      <c r="A459">
        <v>1038</v>
      </c>
      <c r="B459" t="s">
        <v>1481</v>
      </c>
      <c r="C459">
        <v>54</v>
      </c>
      <c r="D459">
        <v>0</v>
      </c>
      <c r="E459" s="2">
        <v>45824</v>
      </c>
      <c r="F459" s="1">
        <v>45771</v>
      </c>
      <c r="G459" t="s">
        <v>1482</v>
      </c>
      <c r="H459" t="s">
        <v>29</v>
      </c>
      <c r="I459" t="s">
        <v>1483</v>
      </c>
      <c r="J459">
        <v>0</v>
      </c>
    </row>
    <row r="460" spans="1:10" x14ac:dyDescent="0.3">
      <c r="A460">
        <v>1037</v>
      </c>
      <c r="B460" t="s">
        <v>1484</v>
      </c>
      <c r="C460">
        <v>52</v>
      </c>
      <c r="D460">
        <v>1</v>
      </c>
      <c r="E460" s="2">
        <v>45997</v>
      </c>
      <c r="F460" s="1">
        <v>45676</v>
      </c>
      <c r="G460" t="s">
        <v>1485</v>
      </c>
      <c r="H460" t="s">
        <v>29</v>
      </c>
      <c r="J460" t="s">
        <v>65</v>
      </c>
    </row>
    <row r="461" spans="1:10" x14ac:dyDescent="0.3">
      <c r="A461">
        <v>1053</v>
      </c>
      <c r="B461" t="s">
        <v>1121</v>
      </c>
      <c r="C461">
        <v>30</v>
      </c>
      <c r="D461" t="s">
        <v>41</v>
      </c>
      <c r="E461" s="2">
        <v>46022</v>
      </c>
      <c r="F461" s="1">
        <v>45975</v>
      </c>
      <c r="G461" t="s">
        <v>1486</v>
      </c>
      <c r="H461" t="s">
        <v>13</v>
      </c>
      <c r="I461" t="s">
        <v>1487</v>
      </c>
      <c r="J461" t="s">
        <v>21</v>
      </c>
    </row>
    <row r="462" spans="1:10" x14ac:dyDescent="0.3">
      <c r="A462">
        <v>1043</v>
      </c>
      <c r="B462" t="s">
        <v>1488</v>
      </c>
      <c r="C462">
        <v>28</v>
      </c>
      <c r="D462">
        <v>0</v>
      </c>
      <c r="E462" t="s">
        <v>1489</v>
      </c>
      <c r="F462" s="1">
        <v>45827</v>
      </c>
      <c r="G462" t="s">
        <v>1490</v>
      </c>
      <c r="H462" t="s">
        <v>29</v>
      </c>
      <c r="I462" t="s">
        <v>1491</v>
      </c>
      <c r="J462">
        <v>0</v>
      </c>
    </row>
    <row r="463" spans="1:10" x14ac:dyDescent="0.3">
      <c r="A463">
        <v>1021</v>
      </c>
      <c r="B463" t="s">
        <v>1492</v>
      </c>
      <c r="C463">
        <v>53</v>
      </c>
      <c r="D463" t="s">
        <v>76</v>
      </c>
      <c r="E463" s="2">
        <v>46069</v>
      </c>
      <c r="F463" s="1">
        <v>45751</v>
      </c>
      <c r="G463" t="s">
        <v>1493</v>
      </c>
      <c r="H463" t="s">
        <v>25</v>
      </c>
      <c r="I463" t="s">
        <v>1494</v>
      </c>
      <c r="J463" t="s">
        <v>21</v>
      </c>
    </row>
    <row r="464" spans="1:10" x14ac:dyDescent="0.3">
      <c r="A464">
        <v>1059</v>
      </c>
      <c r="B464" t="s">
        <v>1495</v>
      </c>
      <c r="C464">
        <v>57</v>
      </c>
      <c r="D464" t="s">
        <v>23</v>
      </c>
      <c r="E464" s="1">
        <v>45896</v>
      </c>
      <c r="F464" s="2">
        <v>45387</v>
      </c>
      <c r="G464" t="s">
        <v>1496</v>
      </c>
      <c r="H464" t="s">
        <v>13</v>
      </c>
      <c r="I464" t="s">
        <v>1497</v>
      </c>
      <c r="J464" t="s">
        <v>39</v>
      </c>
    </row>
    <row r="465" spans="1:10" x14ac:dyDescent="0.3">
      <c r="A465">
        <v>1038</v>
      </c>
      <c r="B465" t="s">
        <v>1498</v>
      </c>
      <c r="C465">
        <v>19</v>
      </c>
      <c r="D465" t="s">
        <v>41</v>
      </c>
      <c r="E465" s="2">
        <v>45790</v>
      </c>
      <c r="F465" s="2">
        <v>45491</v>
      </c>
      <c r="G465" t="s">
        <v>1499</v>
      </c>
      <c r="H465" t="s">
        <v>13</v>
      </c>
      <c r="I465" t="s">
        <v>1500</v>
      </c>
      <c r="J465" t="s">
        <v>21</v>
      </c>
    </row>
    <row r="466" spans="1:10" x14ac:dyDescent="0.3">
      <c r="A466">
        <v>1065</v>
      </c>
      <c r="B466" t="s">
        <v>1501</v>
      </c>
      <c r="C466">
        <v>75</v>
      </c>
      <c r="D466" t="s">
        <v>23</v>
      </c>
      <c r="E466" s="1">
        <v>46005</v>
      </c>
      <c r="F466" s="2">
        <v>45442</v>
      </c>
      <c r="G466" t="s">
        <v>1502</v>
      </c>
      <c r="H466" t="s">
        <v>19</v>
      </c>
      <c r="I466" t="s">
        <v>1503</v>
      </c>
      <c r="J466">
        <v>1</v>
      </c>
    </row>
    <row r="467" spans="1:10" x14ac:dyDescent="0.3">
      <c r="A467">
        <v>1031</v>
      </c>
      <c r="B467" t="s">
        <v>1504</v>
      </c>
      <c r="C467">
        <v>33</v>
      </c>
      <c r="D467">
        <v>1</v>
      </c>
      <c r="E467" s="2">
        <v>45913</v>
      </c>
      <c r="F467" s="1">
        <v>45475</v>
      </c>
      <c r="G467" t="s">
        <v>1505</v>
      </c>
      <c r="H467" t="s">
        <v>19</v>
      </c>
      <c r="I467" t="s">
        <v>1506</v>
      </c>
      <c r="J467">
        <v>1</v>
      </c>
    </row>
    <row r="468" spans="1:10" x14ac:dyDescent="0.3">
      <c r="A468">
        <v>1018</v>
      </c>
      <c r="B468" t="s">
        <v>1507</v>
      </c>
      <c r="C468">
        <v>20</v>
      </c>
      <c r="D468" t="s">
        <v>41</v>
      </c>
      <c r="E468" s="1">
        <v>45861</v>
      </c>
      <c r="F468" s="2">
        <v>45830</v>
      </c>
      <c r="G468" t="s">
        <v>1508</v>
      </c>
      <c r="H468" t="s">
        <v>25</v>
      </c>
      <c r="I468" t="s">
        <v>1509</v>
      </c>
      <c r="J468" t="s">
        <v>65</v>
      </c>
    </row>
    <row r="469" spans="1:10" x14ac:dyDescent="0.3">
      <c r="A469">
        <v>1081</v>
      </c>
      <c r="B469" t="s">
        <v>1510</v>
      </c>
      <c r="C469">
        <v>42</v>
      </c>
      <c r="D469" t="s">
        <v>41</v>
      </c>
      <c r="E469" s="2">
        <v>46096</v>
      </c>
      <c r="F469" t="s">
        <v>1511</v>
      </c>
      <c r="G469" t="s">
        <v>1512</v>
      </c>
      <c r="H469" t="s">
        <v>13</v>
      </c>
      <c r="I469" t="s">
        <v>1513</v>
      </c>
      <c r="J469" t="s">
        <v>39</v>
      </c>
    </row>
    <row r="470" spans="1:10" x14ac:dyDescent="0.3">
      <c r="A470">
        <v>1098</v>
      </c>
      <c r="B470" t="s">
        <v>1514</v>
      </c>
      <c r="C470">
        <v>27</v>
      </c>
      <c r="D470">
        <v>0</v>
      </c>
      <c r="E470" s="1">
        <v>45883</v>
      </c>
      <c r="F470" s="2">
        <v>45628</v>
      </c>
      <c r="G470" t="s">
        <v>1515</v>
      </c>
      <c r="H470" t="s">
        <v>19</v>
      </c>
      <c r="I470" t="s">
        <v>1516</v>
      </c>
      <c r="J470" t="s">
        <v>31</v>
      </c>
    </row>
    <row r="471" spans="1:10" x14ac:dyDescent="0.3">
      <c r="A471">
        <v>1070</v>
      </c>
      <c r="B471" t="s">
        <v>1517</v>
      </c>
      <c r="C471">
        <v>56</v>
      </c>
      <c r="D471" t="s">
        <v>76</v>
      </c>
      <c r="E471" s="2">
        <v>45919</v>
      </c>
      <c r="F471" s="2">
        <v>45563</v>
      </c>
      <c r="G471" t="s">
        <v>1518</v>
      </c>
      <c r="H471" t="s">
        <v>13</v>
      </c>
      <c r="I471" t="s">
        <v>1519</v>
      </c>
      <c r="J471" t="s">
        <v>21</v>
      </c>
    </row>
    <row r="472" spans="1:10" x14ac:dyDescent="0.3">
      <c r="A472">
        <v>1093</v>
      </c>
      <c r="B472" t="s">
        <v>1520</v>
      </c>
      <c r="C472">
        <v>81</v>
      </c>
      <c r="D472">
        <v>0</v>
      </c>
      <c r="E472" s="2">
        <v>46060</v>
      </c>
      <c r="F472" s="2">
        <v>45470</v>
      </c>
      <c r="G472" t="s">
        <v>1521</v>
      </c>
      <c r="H472" t="s">
        <v>29</v>
      </c>
      <c r="I472" t="s">
        <v>1522</v>
      </c>
      <c r="J472" t="s">
        <v>39</v>
      </c>
    </row>
    <row r="473" spans="1:10" x14ac:dyDescent="0.3">
      <c r="A473">
        <v>1032</v>
      </c>
      <c r="B473" t="s">
        <v>1523</v>
      </c>
      <c r="C473">
        <v>56</v>
      </c>
      <c r="D473">
        <v>1</v>
      </c>
      <c r="E473" s="2">
        <v>45927</v>
      </c>
      <c r="F473" s="1">
        <v>45693</v>
      </c>
      <c r="G473" t="s">
        <v>1524</v>
      </c>
      <c r="H473" t="s">
        <v>13</v>
      </c>
      <c r="I473" t="s">
        <v>1525</v>
      </c>
      <c r="J473" t="s">
        <v>31</v>
      </c>
    </row>
    <row r="474" spans="1:10" x14ac:dyDescent="0.3">
      <c r="A474">
        <v>1071</v>
      </c>
      <c r="B474" t="s">
        <v>1526</v>
      </c>
      <c r="C474">
        <v>80</v>
      </c>
      <c r="D474">
        <v>0</v>
      </c>
      <c r="E474" s="1">
        <v>45867</v>
      </c>
      <c r="F474" t="s">
        <v>1055</v>
      </c>
      <c r="G474" t="s">
        <v>1527</v>
      </c>
      <c r="H474" t="s">
        <v>25</v>
      </c>
      <c r="I474" t="s">
        <v>1528</v>
      </c>
      <c r="J474" t="s">
        <v>31</v>
      </c>
    </row>
    <row r="475" spans="1:10" x14ac:dyDescent="0.3">
      <c r="A475">
        <v>1067</v>
      </c>
      <c r="B475" t="s">
        <v>1529</v>
      </c>
      <c r="C475">
        <v>72</v>
      </c>
      <c r="D475">
        <v>0</v>
      </c>
      <c r="E475" t="s">
        <v>1530</v>
      </c>
      <c r="F475" s="2">
        <v>45486</v>
      </c>
      <c r="G475" t="s">
        <v>1531</v>
      </c>
      <c r="H475" t="s">
        <v>19</v>
      </c>
      <c r="I475" t="s">
        <v>1532</v>
      </c>
      <c r="J475" t="s">
        <v>65</v>
      </c>
    </row>
    <row r="476" spans="1:10" x14ac:dyDescent="0.3">
      <c r="A476">
        <v>1090</v>
      </c>
      <c r="B476" t="s">
        <v>1533</v>
      </c>
      <c r="C476">
        <v>37</v>
      </c>
      <c r="D476" t="s">
        <v>23</v>
      </c>
      <c r="E476" s="2">
        <v>46081</v>
      </c>
      <c r="F476" s="1">
        <v>45400</v>
      </c>
      <c r="G476" t="s">
        <v>1534</v>
      </c>
      <c r="H476" t="s">
        <v>29</v>
      </c>
      <c r="I476" t="s">
        <v>1535</v>
      </c>
      <c r="J476">
        <v>0</v>
      </c>
    </row>
    <row r="477" spans="1:10" x14ac:dyDescent="0.3">
      <c r="A477">
        <v>1027</v>
      </c>
      <c r="B477" t="s">
        <v>1536</v>
      </c>
      <c r="C477">
        <v>81</v>
      </c>
      <c r="D477" t="s">
        <v>41</v>
      </c>
      <c r="E477" s="1">
        <v>46021</v>
      </c>
      <c r="F477" s="1">
        <v>45901</v>
      </c>
      <c r="G477" t="s">
        <v>1537</v>
      </c>
      <c r="H477" t="s">
        <v>29</v>
      </c>
      <c r="I477" t="s">
        <v>1538</v>
      </c>
      <c r="J477">
        <v>0</v>
      </c>
    </row>
    <row r="478" spans="1:10" x14ac:dyDescent="0.3">
      <c r="A478">
        <v>1073</v>
      </c>
      <c r="B478" t="s">
        <v>1539</v>
      </c>
      <c r="C478">
        <v>52</v>
      </c>
      <c r="D478" t="s">
        <v>56</v>
      </c>
      <c r="E478" s="2">
        <v>46098</v>
      </c>
      <c r="F478" s="1">
        <v>45950</v>
      </c>
      <c r="G478" t="s">
        <v>1540</v>
      </c>
      <c r="H478" t="s">
        <v>25</v>
      </c>
      <c r="I478" t="s">
        <v>1541</v>
      </c>
      <c r="J478" t="s">
        <v>21</v>
      </c>
    </row>
    <row r="479" spans="1:10" x14ac:dyDescent="0.3">
      <c r="A479">
        <v>1092</v>
      </c>
      <c r="B479" t="s">
        <v>1542</v>
      </c>
      <c r="C479">
        <v>79</v>
      </c>
      <c r="D479">
        <v>1</v>
      </c>
      <c r="E479" s="1">
        <v>45909</v>
      </c>
      <c r="F479" s="1">
        <v>45690</v>
      </c>
      <c r="G479" t="s">
        <v>1543</v>
      </c>
      <c r="H479" t="s">
        <v>25</v>
      </c>
      <c r="I479" t="s">
        <v>1544</v>
      </c>
      <c r="J479" t="s">
        <v>65</v>
      </c>
    </row>
    <row r="480" spans="1:10" x14ac:dyDescent="0.3">
      <c r="A480">
        <v>1083</v>
      </c>
      <c r="B480" t="s">
        <v>1545</v>
      </c>
      <c r="C480">
        <v>56</v>
      </c>
      <c r="D480" t="s">
        <v>16</v>
      </c>
      <c r="E480" s="2">
        <v>45979</v>
      </c>
      <c r="F480" s="2">
        <v>45695</v>
      </c>
      <c r="G480" t="s">
        <v>1546</v>
      </c>
      <c r="H480" t="s">
        <v>13</v>
      </c>
      <c r="I480" t="s">
        <v>1547</v>
      </c>
      <c r="J480">
        <v>0</v>
      </c>
    </row>
    <row r="481" spans="1:10" x14ac:dyDescent="0.3">
      <c r="A481">
        <v>1091</v>
      </c>
      <c r="B481" t="s">
        <v>1548</v>
      </c>
      <c r="C481">
        <v>74</v>
      </c>
      <c r="D481" t="s">
        <v>76</v>
      </c>
      <c r="E481" s="2">
        <v>46002</v>
      </c>
      <c r="F481" s="2">
        <v>45770</v>
      </c>
      <c r="G481" t="s">
        <v>1549</v>
      </c>
      <c r="H481" t="s">
        <v>13</v>
      </c>
      <c r="I481" t="s">
        <v>1550</v>
      </c>
      <c r="J481" t="s">
        <v>21</v>
      </c>
    </row>
    <row r="482" spans="1:10" x14ac:dyDescent="0.3">
      <c r="A482">
        <v>1057</v>
      </c>
      <c r="B482" t="s">
        <v>1551</v>
      </c>
      <c r="C482">
        <v>60</v>
      </c>
      <c r="D482" t="s">
        <v>41</v>
      </c>
      <c r="E482" s="2">
        <v>46048</v>
      </c>
      <c r="F482" s="2">
        <v>45565</v>
      </c>
      <c r="G482" t="s">
        <v>1552</v>
      </c>
      <c r="H482" t="s">
        <v>29</v>
      </c>
      <c r="I482" t="s">
        <v>1553</v>
      </c>
      <c r="J482" t="s">
        <v>39</v>
      </c>
    </row>
    <row r="483" spans="1:10" x14ac:dyDescent="0.3">
      <c r="A483">
        <v>1018</v>
      </c>
      <c r="B483" t="s">
        <v>1554</v>
      </c>
      <c r="C483">
        <v>54</v>
      </c>
      <c r="D483" t="s">
        <v>23</v>
      </c>
      <c r="E483" s="2">
        <v>45951</v>
      </c>
      <c r="F483" s="1">
        <v>45965</v>
      </c>
      <c r="G483" t="s">
        <v>1555</v>
      </c>
      <c r="H483" t="s">
        <v>29</v>
      </c>
      <c r="I483" t="s">
        <v>1556</v>
      </c>
      <c r="J483" t="s">
        <v>21</v>
      </c>
    </row>
    <row r="484" spans="1:10" x14ac:dyDescent="0.3">
      <c r="A484">
        <v>1002</v>
      </c>
      <c r="B484" t="s">
        <v>1557</v>
      </c>
      <c r="C484">
        <v>89</v>
      </c>
      <c r="D484" t="s">
        <v>16</v>
      </c>
      <c r="E484" s="1">
        <v>45907</v>
      </c>
      <c r="F484" s="1">
        <v>45660</v>
      </c>
      <c r="G484" t="s">
        <v>1558</v>
      </c>
      <c r="H484" t="s">
        <v>25</v>
      </c>
      <c r="I484" t="s">
        <v>1559</v>
      </c>
      <c r="J484" t="s">
        <v>39</v>
      </c>
    </row>
    <row r="485" spans="1:10" x14ac:dyDescent="0.3">
      <c r="A485">
        <v>1084</v>
      </c>
      <c r="B485" t="s">
        <v>1560</v>
      </c>
      <c r="C485">
        <v>84</v>
      </c>
      <c r="D485">
        <v>0</v>
      </c>
      <c r="E485" s="1">
        <v>45801</v>
      </c>
      <c r="F485" s="2">
        <v>45422</v>
      </c>
      <c r="G485" t="s">
        <v>1561</v>
      </c>
      <c r="H485" t="s">
        <v>29</v>
      </c>
      <c r="I485" t="s">
        <v>1562</v>
      </c>
      <c r="J485">
        <v>1</v>
      </c>
    </row>
    <row r="486" spans="1:10" x14ac:dyDescent="0.3">
      <c r="A486">
        <v>1005</v>
      </c>
      <c r="B486" t="s">
        <v>1563</v>
      </c>
      <c r="C486">
        <v>80</v>
      </c>
      <c r="D486">
        <v>0</v>
      </c>
      <c r="E486" s="2">
        <v>45793</v>
      </c>
      <c r="F486" s="1">
        <v>45609</v>
      </c>
      <c r="G486" t="s">
        <v>1564</v>
      </c>
      <c r="H486" t="s">
        <v>25</v>
      </c>
      <c r="I486" t="s">
        <v>1565</v>
      </c>
      <c r="J486" t="s">
        <v>21</v>
      </c>
    </row>
    <row r="487" spans="1:10" x14ac:dyDescent="0.3">
      <c r="A487">
        <v>1094</v>
      </c>
      <c r="B487" t="s">
        <v>1566</v>
      </c>
      <c r="C487">
        <v>59</v>
      </c>
      <c r="D487" t="s">
        <v>11</v>
      </c>
      <c r="E487" s="1">
        <v>46079</v>
      </c>
      <c r="F487" s="2">
        <v>45529</v>
      </c>
      <c r="G487" t="s">
        <v>1567</v>
      </c>
      <c r="H487" t="s">
        <v>25</v>
      </c>
      <c r="I487" t="s">
        <v>1568</v>
      </c>
      <c r="J487" t="s">
        <v>31</v>
      </c>
    </row>
    <row r="488" spans="1:10" x14ac:dyDescent="0.3">
      <c r="A488">
        <v>1084</v>
      </c>
      <c r="B488" t="s">
        <v>1569</v>
      </c>
      <c r="C488">
        <v>55</v>
      </c>
      <c r="D488" t="s">
        <v>41</v>
      </c>
      <c r="E488" s="1">
        <v>45776</v>
      </c>
      <c r="F488" s="1">
        <v>45632</v>
      </c>
      <c r="G488" t="s">
        <v>1570</v>
      </c>
      <c r="H488" t="s">
        <v>25</v>
      </c>
      <c r="I488" t="s">
        <v>1571</v>
      </c>
      <c r="J488" t="s">
        <v>65</v>
      </c>
    </row>
    <row r="489" spans="1:10" x14ac:dyDescent="0.3">
      <c r="A489">
        <v>1044</v>
      </c>
      <c r="B489" t="s">
        <v>1572</v>
      </c>
      <c r="C489">
        <v>68</v>
      </c>
      <c r="D489" t="s">
        <v>56</v>
      </c>
      <c r="E489" t="s">
        <v>809</v>
      </c>
      <c r="F489" s="2">
        <v>45688</v>
      </c>
      <c r="G489" t="s">
        <v>1573</v>
      </c>
      <c r="H489" t="s">
        <v>19</v>
      </c>
      <c r="I489" t="s">
        <v>1574</v>
      </c>
      <c r="J489" t="s">
        <v>39</v>
      </c>
    </row>
    <row r="490" spans="1:10" x14ac:dyDescent="0.3">
      <c r="A490">
        <v>1067</v>
      </c>
      <c r="B490" t="s">
        <v>1575</v>
      </c>
      <c r="C490">
        <v>60</v>
      </c>
      <c r="D490" t="s">
        <v>76</v>
      </c>
      <c r="E490" s="1">
        <v>45969</v>
      </c>
      <c r="F490" t="s">
        <v>1576</v>
      </c>
      <c r="G490" t="s">
        <v>1577</v>
      </c>
      <c r="H490" t="s">
        <v>13</v>
      </c>
      <c r="I490" t="s">
        <v>1578</v>
      </c>
      <c r="J490" t="s">
        <v>65</v>
      </c>
    </row>
    <row r="491" spans="1:10" x14ac:dyDescent="0.3">
      <c r="A491">
        <v>1083</v>
      </c>
      <c r="B491" t="s">
        <v>1579</v>
      </c>
      <c r="C491">
        <v>59</v>
      </c>
      <c r="D491" t="s">
        <v>76</v>
      </c>
      <c r="E491" s="2">
        <v>45918</v>
      </c>
      <c r="F491" s="2">
        <v>45458</v>
      </c>
      <c r="G491" t="s">
        <v>1580</v>
      </c>
      <c r="H491" t="s">
        <v>25</v>
      </c>
      <c r="I491" t="s">
        <v>1581</v>
      </c>
      <c r="J491" t="s">
        <v>21</v>
      </c>
    </row>
    <row r="492" spans="1:10" x14ac:dyDescent="0.3">
      <c r="A492">
        <v>1017</v>
      </c>
      <c r="B492" t="s">
        <v>1582</v>
      </c>
      <c r="C492">
        <v>84</v>
      </c>
      <c r="D492" t="s">
        <v>16</v>
      </c>
      <c r="E492" s="2">
        <v>46058</v>
      </c>
      <c r="F492" s="1">
        <v>45440</v>
      </c>
      <c r="G492" t="s">
        <v>1583</v>
      </c>
      <c r="H492" t="s">
        <v>19</v>
      </c>
      <c r="I492" t="s">
        <v>1584</v>
      </c>
      <c r="J492" t="s">
        <v>65</v>
      </c>
    </row>
    <row r="493" spans="1:10" x14ac:dyDescent="0.3">
      <c r="A493">
        <v>1080</v>
      </c>
      <c r="B493" t="s">
        <v>1585</v>
      </c>
      <c r="C493">
        <v>38</v>
      </c>
      <c r="D493">
        <v>1</v>
      </c>
      <c r="E493" t="s">
        <v>1586</v>
      </c>
      <c r="F493" s="1">
        <v>45438</v>
      </c>
      <c r="G493" t="s">
        <v>1587</v>
      </c>
      <c r="H493" t="s">
        <v>19</v>
      </c>
      <c r="I493" t="s">
        <v>1588</v>
      </c>
      <c r="J493">
        <v>1</v>
      </c>
    </row>
    <row r="494" spans="1:10" x14ac:dyDescent="0.3">
      <c r="A494">
        <v>1089</v>
      </c>
      <c r="B494" t="s">
        <v>1589</v>
      </c>
      <c r="C494">
        <v>23</v>
      </c>
      <c r="D494" t="s">
        <v>16</v>
      </c>
      <c r="E494" s="2">
        <v>45879</v>
      </c>
      <c r="F494" s="2">
        <v>45769</v>
      </c>
      <c r="G494" t="s">
        <v>1590</v>
      </c>
      <c r="H494" t="s">
        <v>29</v>
      </c>
      <c r="I494" t="s">
        <v>1591</v>
      </c>
      <c r="J494">
        <v>0</v>
      </c>
    </row>
    <row r="495" spans="1:10" x14ac:dyDescent="0.3">
      <c r="A495">
        <v>1070</v>
      </c>
      <c r="B495" t="s">
        <v>1592</v>
      </c>
      <c r="C495">
        <v>62</v>
      </c>
      <c r="D495" t="s">
        <v>11</v>
      </c>
      <c r="E495" s="2">
        <v>45909</v>
      </c>
      <c r="F495" s="2">
        <v>45621</v>
      </c>
      <c r="G495" t="s">
        <v>1593</v>
      </c>
      <c r="H495" t="s">
        <v>13</v>
      </c>
      <c r="I495" t="s">
        <v>1594</v>
      </c>
      <c r="J495" t="s">
        <v>39</v>
      </c>
    </row>
    <row r="496" spans="1:10" x14ac:dyDescent="0.3">
      <c r="A496">
        <v>1093</v>
      </c>
      <c r="B496" t="s">
        <v>1595</v>
      </c>
      <c r="C496">
        <v>34</v>
      </c>
      <c r="D496">
        <v>0</v>
      </c>
      <c r="E496" s="1">
        <v>46085</v>
      </c>
      <c r="F496" s="1">
        <v>45605</v>
      </c>
      <c r="G496" t="s">
        <v>1596</v>
      </c>
      <c r="H496" t="s">
        <v>19</v>
      </c>
      <c r="I496" t="s">
        <v>1597</v>
      </c>
      <c r="J496" t="s">
        <v>21</v>
      </c>
    </row>
    <row r="497" spans="1:10" x14ac:dyDescent="0.3">
      <c r="A497">
        <v>1088</v>
      </c>
      <c r="B497" t="s">
        <v>1598</v>
      </c>
      <c r="C497">
        <v>35</v>
      </c>
      <c r="D497" t="s">
        <v>23</v>
      </c>
      <c r="E497" s="1">
        <v>45957</v>
      </c>
      <c r="F497" s="1">
        <v>45968</v>
      </c>
      <c r="G497" t="s">
        <v>1599</v>
      </c>
      <c r="H497" t="s">
        <v>13</v>
      </c>
      <c r="I497" t="s">
        <v>1600</v>
      </c>
      <c r="J497">
        <v>1</v>
      </c>
    </row>
    <row r="498" spans="1:10" x14ac:dyDescent="0.3">
      <c r="A498">
        <v>1086</v>
      </c>
      <c r="B498" t="s">
        <v>1601</v>
      </c>
      <c r="C498">
        <v>36</v>
      </c>
      <c r="D498" t="s">
        <v>76</v>
      </c>
      <c r="E498" t="s">
        <v>1602</v>
      </c>
      <c r="F498" s="2">
        <v>45529</v>
      </c>
      <c r="G498" t="s">
        <v>1603</v>
      </c>
      <c r="H498" t="s">
        <v>19</v>
      </c>
      <c r="I498" t="s">
        <v>1604</v>
      </c>
      <c r="J498">
        <v>0</v>
      </c>
    </row>
    <row r="499" spans="1:10" x14ac:dyDescent="0.3">
      <c r="A499">
        <v>1033</v>
      </c>
      <c r="B499" t="s">
        <v>1605</v>
      </c>
      <c r="C499">
        <v>47</v>
      </c>
      <c r="D499">
        <v>0</v>
      </c>
      <c r="E499" s="2">
        <v>45994</v>
      </c>
      <c r="F499" s="2">
        <v>45893</v>
      </c>
      <c r="G499" t="s">
        <v>1606</v>
      </c>
      <c r="H499" t="s">
        <v>13</v>
      </c>
      <c r="I499" t="s">
        <v>1607</v>
      </c>
      <c r="J499" t="s">
        <v>65</v>
      </c>
    </row>
    <row r="500" spans="1:10" x14ac:dyDescent="0.3">
      <c r="A500">
        <v>1023</v>
      </c>
      <c r="B500" t="s">
        <v>1608</v>
      </c>
      <c r="C500">
        <v>36</v>
      </c>
      <c r="D500">
        <v>1</v>
      </c>
      <c r="E500" t="s">
        <v>1609</v>
      </c>
      <c r="F500" s="2">
        <v>45665</v>
      </c>
      <c r="G500" t="s">
        <v>1610</v>
      </c>
      <c r="H500" t="s">
        <v>13</v>
      </c>
      <c r="I500" t="s">
        <v>1611</v>
      </c>
      <c r="J500" t="s">
        <v>65</v>
      </c>
    </row>
    <row r="501" spans="1:10" x14ac:dyDescent="0.3">
      <c r="A501">
        <v>1053</v>
      </c>
      <c r="B501" t="s">
        <v>1612</v>
      </c>
      <c r="C501">
        <v>57</v>
      </c>
      <c r="D501">
        <v>0</v>
      </c>
      <c r="E501" s="2">
        <v>45836</v>
      </c>
      <c r="F501" s="1">
        <v>45598</v>
      </c>
      <c r="G501" t="s">
        <v>1613</v>
      </c>
      <c r="H501" t="s">
        <v>13</v>
      </c>
      <c r="I501" t="s">
        <v>1614</v>
      </c>
      <c r="J501" t="s">
        <v>39</v>
      </c>
    </row>
    <row r="502" spans="1:10" x14ac:dyDescent="0.3">
      <c r="A502">
        <v>1040</v>
      </c>
      <c r="B502" t="s">
        <v>1615</v>
      </c>
      <c r="C502">
        <v>20</v>
      </c>
      <c r="D502" t="s">
        <v>41</v>
      </c>
      <c r="E502" s="2">
        <v>45983</v>
      </c>
      <c r="F502" s="1">
        <v>45812</v>
      </c>
      <c r="G502" t="s">
        <v>1616</v>
      </c>
      <c r="H502" t="s">
        <v>13</v>
      </c>
      <c r="I502" t="s">
        <v>1617</v>
      </c>
      <c r="J502" t="s">
        <v>31</v>
      </c>
    </row>
    <row r="503" spans="1:10" x14ac:dyDescent="0.3">
      <c r="A503">
        <v>1073</v>
      </c>
      <c r="B503" t="s">
        <v>1618</v>
      </c>
      <c r="C503">
        <v>50</v>
      </c>
      <c r="D503">
        <v>0</v>
      </c>
      <c r="E503" s="1">
        <v>45970</v>
      </c>
      <c r="F503" s="1">
        <v>45730</v>
      </c>
      <c r="G503" t="s">
        <v>1619</v>
      </c>
      <c r="H503" t="s">
        <v>25</v>
      </c>
      <c r="I503" t="s">
        <v>1620</v>
      </c>
      <c r="J503" t="s">
        <v>39</v>
      </c>
    </row>
    <row r="504" spans="1:10" x14ac:dyDescent="0.3">
      <c r="A504">
        <v>1031</v>
      </c>
      <c r="B504" t="s">
        <v>1621</v>
      </c>
      <c r="C504">
        <v>50</v>
      </c>
      <c r="D504" t="s">
        <v>16</v>
      </c>
      <c r="E504" s="2">
        <v>45980</v>
      </c>
      <c r="F504" t="s">
        <v>1622</v>
      </c>
      <c r="G504" t="s">
        <v>1623</v>
      </c>
      <c r="H504" t="s">
        <v>19</v>
      </c>
      <c r="I504" t="s">
        <v>1624</v>
      </c>
      <c r="J504">
        <v>1</v>
      </c>
    </row>
    <row r="505" spans="1:10" x14ac:dyDescent="0.3">
      <c r="A505">
        <v>1093</v>
      </c>
      <c r="B505" t="s">
        <v>1625</v>
      </c>
      <c r="C505">
        <v>66</v>
      </c>
      <c r="D505" t="s">
        <v>16</v>
      </c>
      <c r="E505" s="1">
        <v>46055</v>
      </c>
      <c r="F505" s="2">
        <v>45702</v>
      </c>
      <c r="G505" t="s">
        <v>1626</v>
      </c>
      <c r="H505" t="s">
        <v>25</v>
      </c>
      <c r="I505" t="s">
        <v>1627</v>
      </c>
      <c r="J505">
        <v>1</v>
      </c>
    </row>
    <row r="506" spans="1:10" x14ac:dyDescent="0.3">
      <c r="A506">
        <v>1029</v>
      </c>
      <c r="B506" t="s">
        <v>1628</v>
      </c>
      <c r="C506">
        <v>24</v>
      </c>
      <c r="D506" t="s">
        <v>76</v>
      </c>
      <c r="E506" s="1">
        <v>45865</v>
      </c>
      <c r="F506" s="2">
        <v>45857</v>
      </c>
      <c r="G506" t="s">
        <v>1629</v>
      </c>
      <c r="H506" t="s">
        <v>19</v>
      </c>
      <c r="I506" t="s">
        <v>1630</v>
      </c>
      <c r="J506" t="s">
        <v>39</v>
      </c>
    </row>
    <row r="507" spans="1:10" x14ac:dyDescent="0.3">
      <c r="A507">
        <v>1082</v>
      </c>
      <c r="B507" t="s">
        <v>1631</v>
      </c>
      <c r="C507">
        <v>72</v>
      </c>
      <c r="D507" t="s">
        <v>56</v>
      </c>
      <c r="E507" s="1">
        <v>46002</v>
      </c>
      <c r="F507" s="2">
        <v>45681</v>
      </c>
      <c r="G507" t="s">
        <v>1632</v>
      </c>
      <c r="H507" t="s">
        <v>13</v>
      </c>
      <c r="I507" t="s">
        <v>1633</v>
      </c>
      <c r="J507" t="s">
        <v>31</v>
      </c>
    </row>
    <row r="508" spans="1:10" x14ac:dyDescent="0.3">
      <c r="A508">
        <v>1099</v>
      </c>
      <c r="B508" t="s">
        <v>1634</v>
      </c>
      <c r="C508">
        <v>85</v>
      </c>
      <c r="D508" t="s">
        <v>23</v>
      </c>
      <c r="E508" s="2">
        <v>45950</v>
      </c>
      <c r="F508" s="2">
        <v>45879</v>
      </c>
      <c r="G508" t="s">
        <v>719</v>
      </c>
      <c r="H508" t="s">
        <v>25</v>
      </c>
      <c r="I508" t="s">
        <v>1635</v>
      </c>
      <c r="J508" t="s">
        <v>39</v>
      </c>
    </row>
    <row r="509" spans="1:10" x14ac:dyDescent="0.3">
      <c r="A509">
        <v>1065</v>
      </c>
      <c r="B509" t="s">
        <v>1636</v>
      </c>
      <c r="C509">
        <v>38</v>
      </c>
      <c r="D509" t="s">
        <v>23</v>
      </c>
      <c r="E509" s="2">
        <v>45806</v>
      </c>
      <c r="F509" s="1">
        <v>45790</v>
      </c>
      <c r="G509" t="s">
        <v>1637</v>
      </c>
      <c r="H509" t="s">
        <v>13</v>
      </c>
      <c r="I509" t="s">
        <v>1638</v>
      </c>
      <c r="J509">
        <v>0</v>
      </c>
    </row>
    <row r="510" spans="1:10" x14ac:dyDescent="0.3">
      <c r="A510">
        <v>1041</v>
      </c>
      <c r="B510" t="s">
        <v>1639</v>
      </c>
      <c r="C510">
        <v>67</v>
      </c>
      <c r="D510" t="s">
        <v>41</v>
      </c>
      <c r="E510" s="2">
        <v>45764</v>
      </c>
      <c r="F510" s="2">
        <v>45550</v>
      </c>
      <c r="G510" t="s">
        <v>1640</v>
      </c>
      <c r="H510" t="s">
        <v>19</v>
      </c>
      <c r="I510" t="s">
        <v>1641</v>
      </c>
      <c r="J510">
        <v>0</v>
      </c>
    </row>
    <row r="511" spans="1:10" x14ac:dyDescent="0.3">
      <c r="A511">
        <v>1003</v>
      </c>
      <c r="B511" t="s">
        <v>1642</v>
      </c>
      <c r="C511">
        <v>27</v>
      </c>
      <c r="D511">
        <v>0</v>
      </c>
      <c r="E511" s="1">
        <v>45813</v>
      </c>
      <c r="F511" s="2">
        <v>45729</v>
      </c>
      <c r="G511" t="s">
        <v>1643</v>
      </c>
      <c r="H511" t="s">
        <v>19</v>
      </c>
      <c r="I511" t="s">
        <v>1644</v>
      </c>
      <c r="J511" t="s">
        <v>39</v>
      </c>
    </row>
    <row r="512" spans="1:10" x14ac:dyDescent="0.3">
      <c r="A512">
        <v>1038</v>
      </c>
      <c r="B512" t="s">
        <v>1645</v>
      </c>
      <c r="C512">
        <v>45</v>
      </c>
      <c r="D512" t="s">
        <v>41</v>
      </c>
      <c r="E512" s="2">
        <v>46079</v>
      </c>
      <c r="F512" s="1">
        <v>45722</v>
      </c>
      <c r="G512" t="s">
        <v>1646</v>
      </c>
      <c r="H512" t="s">
        <v>29</v>
      </c>
      <c r="I512" t="s">
        <v>1647</v>
      </c>
      <c r="J512" t="s">
        <v>39</v>
      </c>
    </row>
    <row r="513" spans="1:10" x14ac:dyDescent="0.3">
      <c r="A513">
        <v>1061</v>
      </c>
      <c r="B513" t="s">
        <v>1648</v>
      </c>
      <c r="C513">
        <v>37</v>
      </c>
      <c r="D513">
        <v>0</v>
      </c>
      <c r="E513" s="2">
        <v>45947</v>
      </c>
      <c r="F513" s="1">
        <v>45754</v>
      </c>
      <c r="G513" t="s">
        <v>1649</v>
      </c>
      <c r="H513" t="s">
        <v>19</v>
      </c>
      <c r="I513" t="s">
        <v>1650</v>
      </c>
      <c r="J513" t="s">
        <v>31</v>
      </c>
    </row>
    <row r="514" spans="1:10" x14ac:dyDescent="0.3">
      <c r="A514">
        <v>1024</v>
      </c>
      <c r="B514" t="s">
        <v>1651</v>
      </c>
      <c r="C514">
        <v>26</v>
      </c>
      <c r="D514" t="s">
        <v>23</v>
      </c>
      <c r="E514" s="2">
        <v>45950</v>
      </c>
      <c r="F514" s="2">
        <v>45544</v>
      </c>
      <c r="G514" t="s">
        <v>1652</v>
      </c>
      <c r="H514" t="s">
        <v>19</v>
      </c>
      <c r="I514" t="s">
        <v>1653</v>
      </c>
      <c r="J514" t="s">
        <v>65</v>
      </c>
    </row>
    <row r="515" spans="1:10" x14ac:dyDescent="0.3">
      <c r="A515">
        <v>1017</v>
      </c>
      <c r="B515" t="s">
        <v>1654</v>
      </c>
      <c r="C515">
        <v>86</v>
      </c>
      <c r="D515">
        <v>0</v>
      </c>
      <c r="E515" s="1">
        <v>46267</v>
      </c>
      <c r="F515" s="2">
        <v>46043</v>
      </c>
      <c r="G515" t="s">
        <v>1655</v>
      </c>
      <c r="H515" t="s">
        <v>25</v>
      </c>
      <c r="I515" t="s">
        <v>1656</v>
      </c>
      <c r="J515">
        <v>0</v>
      </c>
    </row>
    <row r="516" spans="1:10" x14ac:dyDescent="0.3">
      <c r="A516">
        <v>1010</v>
      </c>
      <c r="B516" t="s">
        <v>1657</v>
      </c>
      <c r="C516">
        <v>82</v>
      </c>
      <c r="D516" t="s">
        <v>56</v>
      </c>
      <c r="E516" t="s">
        <v>1658</v>
      </c>
      <c r="F516" s="2">
        <v>45796</v>
      </c>
      <c r="G516" t="s">
        <v>1659</v>
      </c>
      <c r="H516" t="s">
        <v>19</v>
      </c>
      <c r="I516" t="s">
        <v>1660</v>
      </c>
      <c r="J516" t="s">
        <v>21</v>
      </c>
    </row>
    <row r="517" spans="1:10" x14ac:dyDescent="0.3">
      <c r="A517">
        <v>1096</v>
      </c>
      <c r="B517" t="s">
        <v>1661</v>
      </c>
      <c r="C517">
        <v>82</v>
      </c>
      <c r="D517" t="s">
        <v>76</v>
      </c>
      <c r="E517" s="2">
        <v>45792</v>
      </c>
      <c r="F517" s="1">
        <v>45790</v>
      </c>
      <c r="G517" t="s">
        <v>1662</v>
      </c>
      <c r="H517" t="s">
        <v>29</v>
      </c>
      <c r="I517" t="s">
        <v>1663</v>
      </c>
      <c r="J517" t="s">
        <v>31</v>
      </c>
    </row>
    <row r="518" spans="1:10" x14ac:dyDescent="0.3">
      <c r="A518">
        <v>1024</v>
      </c>
      <c r="B518" t="s">
        <v>1664</v>
      </c>
      <c r="C518">
        <v>18</v>
      </c>
      <c r="D518" t="s">
        <v>23</v>
      </c>
      <c r="E518" s="2">
        <v>45936</v>
      </c>
      <c r="F518" s="1">
        <v>45624</v>
      </c>
      <c r="G518" t="s">
        <v>1665</v>
      </c>
      <c r="H518" t="s">
        <v>19</v>
      </c>
      <c r="I518" t="s">
        <v>1666</v>
      </c>
      <c r="J518">
        <v>0</v>
      </c>
    </row>
    <row r="519" spans="1:10" x14ac:dyDescent="0.3">
      <c r="A519">
        <v>1058</v>
      </c>
      <c r="B519" t="s">
        <v>1667</v>
      </c>
      <c r="C519">
        <v>59</v>
      </c>
      <c r="D519" t="s">
        <v>11</v>
      </c>
      <c r="E519" s="1">
        <v>46096</v>
      </c>
      <c r="F519" s="2">
        <v>45663</v>
      </c>
      <c r="G519" t="s">
        <v>1668</v>
      </c>
      <c r="H519" t="s">
        <v>19</v>
      </c>
      <c r="I519" t="s">
        <v>1669</v>
      </c>
      <c r="J519" t="s">
        <v>65</v>
      </c>
    </row>
    <row r="520" spans="1:10" x14ac:dyDescent="0.3">
      <c r="A520">
        <v>1068</v>
      </c>
      <c r="B520" t="s">
        <v>1670</v>
      </c>
      <c r="C520">
        <v>37</v>
      </c>
      <c r="D520" t="s">
        <v>56</v>
      </c>
      <c r="E520" s="2">
        <v>45979</v>
      </c>
      <c r="F520" s="1">
        <v>45614</v>
      </c>
      <c r="G520" t="s">
        <v>1671</v>
      </c>
      <c r="H520" t="s">
        <v>13</v>
      </c>
      <c r="I520" t="s">
        <v>1672</v>
      </c>
      <c r="J520" t="s">
        <v>39</v>
      </c>
    </row>
    <row r="521" spans="1:10" x14ac:dyDescent="0.3">
      <c r="A521">
        <v>1013</v>
      </c>
      <c r="B521" t="s">
        <v>1673</v>
      </c>
      <c r="C521">
        <v>71</v>
      </c>
      <c r="D521">
        <v>0</v>
      </c>
      <c r="E521" s="1">
        <v>45874</v>
      </c>
      <c r="F521" s="2">
        <v>45845</v>
      </c>
      <c r="G521" t="s">
        <v>1674</v>
      </c>
      <c r="H521" t="s">
        <v>19</v>
      </c>
      <c r="I521" t="s">
        <v>1675</v>
      </c>
      <c r="J521">
        <v>0</v>
      </c>
    </row>
    <row r="522" spans="1:10" x14ac:dyDescent="0.3">
      <c r="A522">
        <v>1009</v>
      </c>
      <c r="B522" t="s">
        <v>1676</v>
      </c>
      <c r="C522">
        <v>49</v>
      </c>
      <c r="D522">
        <v>0</v>
      </c>
      <c r="E522" t="s">
        <v>1110</v>
      </c>
      <c r="F522" s="2">
        <v>46038</v>
      </c>
      <c r="G522" t="s">
        <v>1677</v>
      </c>
      <c r="H522" t="s">
        <v>13</v>
      </c>
      <c r="I522" t="s">
        <v>1678</v>
      </c>
      <c r="J522" t="s">
        <v>65</v>
      </c>
    </row>
    <row r="523" spans="1:10" x14ac:dyDescent="0.3">
      <c r="A523">
        <v>1031</v>
      </c>
      <c r="B523" t="s">
        <v>1679</v>
      </c>
      <c r="C523">
        <v>35</v>
      </c>
      <c r="D523" t="s">
        <v>23</v>
      </c>
      <c r="E523" s="1">
        <v>45815</v>
      </c>
      <c r="F523" s="2">
        <v>45721</v>
      </c>
      <c r="G523" t="s">
        <v>1680</v>
      </c>
      <c r="H523" t="s">
        <v>29</v>
      </c>
      <c r="I523" t="s">
        <v>1681</v>
      </c>
      <c r="J523" t="s">
        <v>21</v>
      </c>
    </row>
    <row r="524" spans="1:10" x14ac:dyDescent="0.3">
      <c r="A524">
        <v>1043</v>
      </c>
      <c r="B524" t="s">
        <v>1682</v>
      </c>
      <c r="C524">
        <v>38</v>
      </c>
      <c r="D524" t="s">
        <v>23</v>
      </c>
      <c r="E524" t="s">
        <v>1379</v>
      </c>
      <c r="F524" s="2">
        <v>45809</v>
      </c>
      <c r="G524" t="s">
        <v>1683</v>
      </c>
      <c r="H524" t="s">
        <v>25</v>
      </c>
      <c r="I524" t="s">
        <v>1684</v>
      </c>
      <c r="J524">
        <v>0</v>
      </c>
    </row>
    <row r="525" spans="1:10" x14ac:dyDescent="0.3">
      <c r="A525">
        <v>1072</v>
      </c>
      <c r="B525" t="s">
        <v>1685</v>
      </c>
      <c r="C525">
        <v>30</v>
      </c>
      <c r="D525" t="s">
        <v>41</v>
      </c>
      <c r="E525" s="2">
        <v>46047</v>
      </c>
      <c r="F525" s="1">
        <v>45931</v>
      </c>
      <c r="G525" t="s">
        <v>1686</v>
      </c>
      <c r="H525" t="s">
        <v>29</v>
      </c>
      <c r="I525" t="s">
        <v>1687</v>
      </c>
      <c r="J525">
        <v>1</v>
      </c>
    </row>
    <row r="526" spans="1:10" x14ac:dyDescent="0.3">
      <c r="A526">
        <v>1055</v>
      </c>
      <c r="B526" t="s">
        <v>1688</v>
      </c>
      <c r="C526">
        <v>80</v>
      </c>
      <c r="D526" t="s">
        <v>11</v>
      </c>
      <c r="E526" s="2">
        <v>45775</v>
      </c>
      <c r="F526" s="2">
        <v>45381</v>
      </c>
      <c r="G526" t="s">
        <v>1689</v>
      </c>
      <c r="H526" t="s">
        <v>25</v>
      </c>
      <c r="I526" t="s">
        <v>1690</v>
      </c>
      <c r="J526" t="s">
        <v>65</v>
      </c>
    </row>
    <row r="527" spans="1:10" x14ac:dyDescent="0.3">
      <c r="A527">
        <v>1098</v>
      </c>
      <c r="B527" t="s">
        <v>1691</v>
      </c>
      <c r="C527">
        <v>75</v>
      </c>
      <c r="D527" t="s">
        <v>41</v>
      </c>
      <c r="E527" s="2">
        <v>46019</v>
      </c>
      <c r="F527" t="s">
        <v>1692</v>
      </c>
      <c r="G527" t="s">
        <v>1693</v>
      </c>
      <c r="H527" t="s">
        <v>25</v>
      </c>
      <c r="I527" t="s">
        <v>1694</v>
      </c>
      <c r="J527">
        <v>1</v>
      </c>
    </row>
    <row r="528" spans="1:10" x14ac:dyDescent="0.3">
      <c r="A528">
        <v>1072</v>
      </c>
      <c r="B528" t="s">
        <v>1695</v>
      </c>
      <c r="C528">
        <v>49</v>
      </c>
      <c r="D528" t="s">
        <v>16</v>
      </c>
      <c r="E528" s="2">
        <v>45742</v>
      </c>
      <c r="F528" s="1">
        <v>45689</v>
      </c>
      <c r="G528" t="s">
        <v>1696</v>
      </c>
      <c r="H528" t="s">
        <v>13</v>
      </c>
      <c r="I528" t="s">
        <v>1697</v>
      </c>
      <c r="J528" t="s">
        <v>65</v>
      </c>
    </row>
    <row r="529" spans="1:10" x14ac:dyDescent="0.3">
      <c r="A529">
        <v>1070</v>
      </c>
      <c r="B529" t="s">
        <v>1698</v>
      </c>
      <c r="C529">
        <v>24</v>
      </c>
      <c r="D529" t="s">
        <v>23</v>
      </c>
      <c r="E529" s="2">
        <v>46052</v>
      </c>
      <c r="F529" t="s">
        <v>1692</v>
      </c>
      <c r="G529" t="s">
        <v>1699</v>
      </c>
      <c r="H529" t="s">
        <v>29</v>
      </c>
      <c r="I529" t="s">
        <v>1700</v>
      </c>
      <c r="J529" t="s">
        <v>65</v>
      </c>
    </row>
    <row r="530" spans="1:10" x14ac:dyDescent="0.3">
      <c r="A530">
        <v>1061</v>
      </c>
      <c r="B530" t="s">
        <v>1701</v>
      </c>
      <c r="C530">
        <v>74</v>
      </c>
      <c r="D530" t="s">
        <v>11</v>
      </c>
      <c r="E530" s="2">
        <v>45901</v>
      </c>
      <c r="F530" t="s">
        <v>1702</v>
      </c>
      <c r="G530" t="s">
        <v>1703</v>
      </c>
      <c r="H530" t="s">
        <v>29</v>
      </c>
      <c r="I530" t="s">
        <v>1704</v>
      </c>
      <c r="J530" t="s">
        <v>39</v>
      </c>
    </row>
    <row r="531" spans="1:10" x14ac:dyDescent="0.3">
      <c r="A531">
        <v>1059</v>
      </c>
      <c r="B531" t="s">
        <v>1705</v>
      </c>
      <c r="C531">
        <v>35</v>
      </c>
      <c r="D531">
        <v>1</v>
      </c>
      <c r="E531" s="2">
        <v>45972</v>
      </c>
      <c r="F531" s="2">
        <v>45491</v>
      </c>
      <c r="G531" t="s">
        <v>1706</v>
      </c>
      <c r="H531" t="s">
        <v>19</v>
      </c>
      <c r="J531">
        <v>0</v>
      </c>
    </row>
    <row r="532" spans="1:10" x14ac:dyDescent="0.3">
      <c r="A532">
        <v>1091</v>
      </c>
      <c r="B532" t="s">
        <v>1707</v>
      </c>
      <c r="C532">
        <v>85</v>
      </c>
      <c r="D532">
        <v>1</v>
      </c>
      <c r="E532" s="1">
        <v>45745</v>
      </c>
      <c r="F532" s="1">
        <v>45723</v>
      </c>
      <c r="G532" t="s">
        <v>1708</v>
      </c>
      <c r="H532" t="s">
        <v>13</v>
      </c>
      <c r="I532" t="s">
        <v>1709</v>
      </c>
      <c r="J532" t="s">
        <v>31</v>
      </c>
    </row>
    <row r="533" spans="1:10" x14ac:dyDescent="0.3">
      <c r="A533">
        <v>1003</v>
      </c>
      <c r="B533" t="s">
        <v>1710</v>
      </c>
      <c r="C533">
        <v>64</v>
      </c>
      <c r="D533" t="s">
        <v>11</v>
      </c>
      <c r="E533" s="1">
        <v>46046</v>
      </c>
      <c r="F533" s="2">
        <v>45696</v>
      </c>
      <c r="G533" t="s">
        <v>1711</v>
      </c>
      <c r="H533" t="s">
        <v>13</v>
      </c>
      <c r="I533" t="s">
        <v>1712</v>
      </c>
      <c r="J533">
        <v>0</v>
      </c>
    </row>
    <row r="534" spans="1:10" x14ac:dyDescent="0.3">
      <c r="A534">
        <v>1087</v>
      </c>
      <c r="B534" t="s">
        <v>1713</v>
      </c>
      <c r="C534">
        <v>70</v>
      </c>
      <c r="D534" t="s">
        <v>11</v>
      </c>
      <c r="E534" s="1">
        <v>45912</v>
      </c>
      <c r="F534" s="1">
        <v>45446</v>
      </c>
      <c r="G534" t="s">
        <v>1714</v>
      </c>
      <c r="H534" t="s">
        <v>25</v>
      </c>
      <c r="I534" t="s">
        <v>1715</v>
      </c>
      <c r="J534" t="s">
        <v>21</v>
      </c>
    </row>
    <row r="535" spans="1:10" x14ac:dyDescent="0.3">
      <c r="A535">
        <v>1049</v>
      </c>
      <c r="B535" t="s">
        <v>1716</v>
      </c>
      <c r="C535">
        <v>37</v>
      </c>
      <c r="E535" s="1">
        <v>45935</v>
      </c>
      <c r="F535" s="1">
        <v>45530</v>
      </c>
      <c r="G535" t="s">
        <v>1717</v>
      </c>
      <c r="H535" t="s">
        <v>25</v>
      </c>
      <c r="I535" t="s">
        <v>1718</v>
      </c>
      <c r="J535">
        <v>0</v>
      </c>
    </row>
    <row r="536" spans="1:10" x14ac:dyDescent="0.3">
      <c r="A536">
        <v>1056</v>
      </c>
      <c r="B536" t="s">
        <v>1719</v>
      </c>
      <c r="C536">
        <v>24</v>
      </c>
      <c r="D536" t="s">
        <v>56</v>
      </c>
      <c r="E536" t="s">
        <v>1720</v>
      </c>
      <c r="F536" s="1">
        <v>45672</v>
      </c>
      <c r="G536" t="s">
        <v>1721</v>
      </c>
      <c r="H536" t="s">
        <v>13</v>
      </c>
      <c r="I536" t="s">
        <v>1722</v>
      </c>
      <c r="J536" t="s">
        <v>39</v>
      </c>
    </row>
    <row r="537" spans="1:10" x14ac:dyDescent="0.3">
      <c r="A537">
        <v>1057</v>
      </c>
      <c r="B537" t="s">
        <v>1723</v>
      </c>
      <c r="C537">
        <v>86</v>
      </c>
      <c r="D537">
        <v>0</v>
      </c>
      <c r="E537" s="2">
        <v>45819</v>
      </c>
      <c r="F537" s="2">
        <v>45563</v>
      </c>
      <c r="G537" t="s">
        <v>1724</v>
      </c>
      <c r="H537" t="s">
        <v>19</v>
      </c>
      <c r="I537" t="s">
        <v>1725</v>
      </c>
      <c r="J537" t="s">
        <v>31</v>
      </c>
    </row>
    <row r="538" spans="1:10" x14ac:dyDescent="0.3">
      <c r="A538">
        <v>1054</v>
      </c>
      <c r="B538" t="s">
        <v>1726</v>
      </c>
      <c r="C538">
        <v>57</v>
      </c>
      <c r="D538" t="s">
        <v>23</v>
      </c>
      <c r="E538" s="1">
        <v>45910</v>
      </c>
      <c r="F538" s="2">
        <v>45733</v>
      </c>
      <c r="G538" t="s">
        <v>1727</v>
      </c>
      <c r="H538" t="s">
        <v>25</v>
      </c>
      <c r="I538" t="s">
        <v>1728</v>
      </c>
      <c r="J538" t="s">
        <v>31</v>
      </c>
    </row>
    <row r="539" spans="1:10" x14ac:dyDescent="0.3">
      <c r="A539">
        <v>1040</v>
      </c>
      <c r="B539" t="s">
        <v>1729</v>
      </c>
      <c r="C539">
        <v>20</v>
      </c>
      <c r="D539">
        <v>1</v>
      </c>
      <c r="E539" t="s">
        <v>656</v>
      </c>
      <c r="F539" t="s">
        <v>1730</v>
      </c>
      <c r="G539" t="s">
        <v>1731</v>
      </c>
      <c r="H539" t="s">
        <v>13</v>
      </c>
      <c r="J539">
        <v>0</v>
      </c>
    </row>
    <row r="540" spans="1:10" x14ac:dyDescent="0.3">
      <c r="A540">
        <v>1059</v>
      </c>
      <c r="B540" t="s">
        <v>1732</v>
      </c>
      <c r="C540">
        <v>88</v>
      </c>
      <c r="D540" t="s">
        <v>76</v>
      </c>
      <c r="E540" s="2">
        <v>45868</v>
      </c>
      <c r="F540" t="s">
        <v>1733</v>
      </c>
      <c r="G540" t="s">
        <v>1734</v>
      </c>
      <c r="H540" t="s">
        <v>29</v>
      </c>
      <c r="I540" t="s">
        <v>1735</v>
      </c>
      <c r="J540" t="s">
        <v>21</v>
      </c>
    </row>
    <row r="541" spans="1:10" x14ac:dyDescent="0.3">
      <c r="A541">
        <v>1035</v>
      </c>
      <c r="B541" t="s">
        <v>1736</v>
      </c>
      <c r="C541">
        <v>84</v>
      </c>
      <c r="D541">
        <v>0</v>
      </c>
      <c r="E541" s="2">
        <v>45939</v>
      </c>
      <c r="F541" s="2">
        <v>45787</v>
      </c>
      <c r="G541" t="s">
        <v>1737</v>
      </c>
      <c r="H541" t="s">
        <v>19</v>
      </c>
      <c r="I541" t="s">
        <v>1738</v>
      </c>
      <c r="J541" t="s">
        <v>31</v>
      </c>
    </row>
    <row r="542" spans="1:10" x14ac:dyDescent="0.3">
      <c r="A542">
        <v>1086</v>
      </c>
      <c r="B542" t="s">
        <v>1739</v>
      </c>
      <c r="C542">
        <v>86</v>
      </c>
      <c r="D542" t="s">
        <v>41</v>
      </c>
      <c r="E542" s="1">
        <v>45872</v>
      </c>
      <c r="F542" t="s">
        <v>1471</v>
      </c>
      <c r="G542" t="s">
        <v>1740</v>
      </c>
      <c r="H542" t="s">
        <v>19</v>
      </c>
      <c r="I542" t="s">
        <v>1741</v>
      </c>
      <c r="J542" t="s">
        <v>21</v>
      </c>
    </row>
    <row r="543" spans="1:10" x14ac:dyDescent="0.3">
      <c r="A543">
        <v>1050</v>
      </c>
      <c r="B543" t="s">
        <v>1742</v>
      </c>
      <c r="C543">
        <v>60</v>
      </c>
      <c r="D543" t="s">
        <v>16</v>
      </c>
      <c r="E543" s="1">
        <v>45813</v>
      </c>
      <c r="F543" s="1">
        <v>45576</v>
      </c>
      <c r="G543" t="s">
        <v>1743</v>
      </c>
      <c r="H543" t="s">
        <v>29</v>
      </c>
      <c r="I543" t="s">
        <v>1744</v>
      </c>
      <c r="J543" t="s">
        <v>21</v>
      </c>
    </row>
    <row r="544" spans="1:10" x14ac:dyDescent="0.3">
      <c r="A544">
        <v>1024</v>
      </c>
      <c r="B544" t="s">
        <v>1745</v>
      </c>
      <c r="C544">
        <v>72</v>
      </c>
      <c r="E544" s="2">
        <v>45872</v>
      </c>
      <c r="F544" s="1">
        <v>45758</v>
      </c>
      <c r="G544" t="s">
        <v>1746</v>
      </c>
      <c r="H544" t="s">
        <v>19</v>
      </c>
      <c r="J544" t="s">
        <v>21</v>
      </c>
    </row>
    <row r="545" spans="1:10" x14ac:dyDescent="0.3">
      <c r="A545">
        <v>1046</v>
      </c>
      <c r="B545" t="s">
        <v>1747</v>
      </c>
      <c r="C545">
        <v>76</v>
      </c>
      <c r="D545" t="s">
        <v>23</v>
      </c>
      <c r="E545" s="1">
        <v>46028</v>
      </c>
      <c r="F545" s="2">
        <v>45732</v>
      </c>
      <c r="G545" t="s">
        <v>1748</v>
      </c>
      <c r="H545" t="s">
        <v>13</v>
      </c>
      <c r="I545" t="s">
        <v>1749</v>
      </c>
      <c r="J545">
        <v>1</v>
      </c>
    </row>
    <row r="546" spans="1:10" x14ac:dyDescent="0.3">
      <c r="A546">
        <v>1051</v>
      </c>
      <c r="B546" t="s">
        <v>1750</v>
      </c>
      <c r="C546">
        <v>81</v>
      </c>
      <c r="D546" t="s">
        <v>56</v>
      </c>
      <c r="E546" s="1">
        <v>46056</v>
      </c>
      <c r="F546" s="2">
        <v>45929</v>
      </c>
      <c r="G546" t="s">
        <v>1751</v>
      </c>
      <c r="H546" t="s">
        <v>25</v>
      </c>
      <c r="I546" t="s">
        <v>1752</v>
      </c>
      <c r="J546">
        <v>0</v>
      </c>
    </row>
    <row r="547" spans="1:10" x14ac:dyDescent="0.3">
      <c r="A547">
        <v>1014</v>
      </c>
      <c r="B547" t="s">
        <v>1753</v>
      </c>
      <c r="C547">
        <v>81</v>
      </c>
      <c r="D547" t="s">
        <v>16</v>
      </c>
      <c r="E547" t="s">
        <v>1754</v>
      </c>
      <c r="F547" s="2">
        <v>45454</v>
      </c>
      <c r="G547" t="s">
        <v>1755</v>
      </c>
      <c r="H547" t="s">
        <v>19</v>
      </c>
      <c r="I547" t="s">
        <v>1756</v>
      </c>
      <c r="J547" t="s">
        <v>21</v>
      </c>
    </row>
    <row r="548" spans="1:10" x14ac:dyDescent="0.3">
      <c r="A548">
        <v>1059</v>
      </c>
      <c r="B548" t="s">
        <v>1757</v>
      </c>
      <c r="C548">
        <v>75</v>
      </c>
      <c r="D548" t="s">
        <v>11</v>
      </c>
      <c r="E548" s="2">
        <v>45762</v>
      </c>
      <c r="F548" s="1">
        <v>45444</v>
      </c>
      <c r="G548" t="s">
        <v>1758</v>
      </c>
      <c r="H548" t="s">
        <v>13</v>
      </c>
      <c r="I548" t="s">
        <v>1759</v>
      </c>
      <c r="J548" t="s">
        <v>21</v>
      </c>
    </row>
    <row r="549" spans="1:10" x14ac:dyDescent="0.3">
      <c r="A549">
        <v>1040</v>
      </c>
      <c r="B549" t="s">
        <v>1760</v>
      </c>
      <c r="C549">
        <v>77</v>
      </c>
      <c r="D549" t="s">
        <v>56</v>
      </c>
      <c r="E549" s="2">
        <v>46006</v>
      </c>
      <c r="F549" s="2">
        <v>45523</v>
      </c>
      <c r="G549" t="s">
        <v>1761</v>
      </c>
      <c r="H549" t="s">
        <v>13</v>
      </c>
      <c r="J549">
        <v>0</v>
      </c>
    </row>
    <row r="550" spans="1:10" x14ac:dyDescent="0.3">
      <c r="A550">
        <v>1092</v>
      </c>
      <c r="B550" t="s">
        <v>1762</v>
      </c>
      <c r="C550">
        <v>74</v>
      </c>
      <c r="D550" t="s">
        <v>11</v>
      </c>
      <c r="E550" s="1">
        <v>45862</v>
      </c>
      <c r="F550" s="2">
        <v>45771</v>
      </c>
      <c r="G550" t="s">
        <v>1763</v>
      </c>
      <c r="H550" t="s">
        <v>29</v>
      </c>
      <c r="I550" t="s">
        <v>1764</v>
      </c>
      <c r="J550" t="s">
        <v>21</v>
      </c>
    </row>
    <row r="551" spans="1:10" x14ac:dyDescent="0.3">
      <c r="A551">
        <v>1010</v>
      </c>
      <c r="B551" t="s">
        <v>1765</v>
      </c>
      <c r="C551">
        <v>60</v>
      </c>
      <c r="D551" t="s">
        <v>23</v>
      </c>
      <c r="E551" s="2">
        <v>46048</v>
      </c>
      <c r="F551" s="1">
        <v>45540</v>
      </c>
      <c r="G551" t="s">
        <v>1766</v>
      </c>
      <c r="H551" t="s">
        <v>13</v>
      </c>
      <c r="I551" t="s">
        <v>1767</v>
      </c>
      <c r="J551">
        <v>1</v>
      </c>
    </row>
    <row r="552" spans="1:10" x14ac:dyDescent="0.3">
      <c r="A552">
        <v>1032</v>
      </c>
      <c r="B552" t="s">
        <v>1768</v>
      </c>
      <c r="C552">
        <v>28</v>
      </c>
      <c r="D552" t="s">
        <v>23</v>
      </c>
      <c r="E552" t="s">
        <v>898</v>
      </c>
      <c r="F552" s="1">
        <v>45520</v>
      </c>
      <c r="G552" t="s">
        <v>1769</v>
      </c>
      <c r="H552" t="s">
        <v>25</v>
      </c>
      <c r="I552" t="s">
        <v>1770</v>
      </c>
      <c r="J552" t="s">
        <v>39</v>
      </c>
    </row>
    <row r="553" spans="1:10" x14ac:dyDescent="0.3">
      <c r="A553">
        <v>1020</v>
      </c>
      <c r="B553" t="s">
        <v>1771</v>
      </c>
      <c r="C553">
        <v>45</v>
      </c>
      <c r="D553" t="s">
        <v>16</v>
      </c>
      <c r="E553" s="2">
        <v>45990</v>
      </c>
      <c r="F553" s="2">
        <v>45900</v>
      </c>
      <c r="G553" t="s">
        <v>1772</v>
      </c>
      <c r="H553" t="s">
        <v>29</v>
      </c>
      <c r="I553" t="s">
        <v>1773</v>
      </c>
      <c r="J553">
        <v>0</v>
      </c>
    </row>
    <row r="554" spans="1:10" x14ac:dyDescent="0.3">
      <c r="A554">
        <v>1020</v>
      </c>
      <c r="B554" t="s">
        <v>1774</v>
      </c>
      <c r="C554">
        <v>50</v>
      </c>
      <c r="D554" t="s">
        <v>23</v>
      </c>
      <c r="E554" s="2">
        <v>45887</v>
      </c>
      <c r="F554" s="1">
        <v>45794</v>
      </c>
      <c r="G554" t="s">
        <v>1775</v>
      </c>
      <c r="H554" t="s">
        <v>25</v>
      </c>
      <c r="I554" t="s">
        <v>1776</v>
      </c>
      <c r="J554">
        <v>1</v>
      </c>
    </row>
    <row r="555" spans="1:10" x14ac:dyDescent="0.3">
      <c r="A555">
        <v>1017</v>
      </c>
      <c r="B555" t="s">
        <v>1777</v>
      </c>
      <c r="C555">
        <v>55</v>
      </c>
      <c r="D555" t="s">
        <v>76</v>
      </c>
      <c r="E555" s="1">
        <v>45856</v>
      </c>
      <c r="F555" s="1">
        <v>45479</v>
      </c>
      <c r="G555" t="s">
        <v>1778</v>
      </c>
      <c r="H555" t="s">
        <v>29</v>
      </c>
      <c r="I555" t="s">
        <v>1779</v>
      </c>
      <c r="J555" t="s">
        <v>31</v>
      </c>
    </row>
    <row r="556" spans="1:10" x14ac:dyDescent="0.3">
      <c r="A556">
        <v>1007</v>
      </c>
      <c r="B556" t="s">
        <v>1780</v>
      </c>
      <c r="C556">
        <v>25</v>
      </c>
      <c r="D556" t="s">
        <v>11</v>
      </c>
      <c r="E556" s="2">
        <v>45996</v>
      </c>
      <c r="F556" t="s">
        <v>1781</v>
      </c>
      <c r="G556" t="s">
        <v>1782</v>
      </c>
      <c r="H556" t="s">
        <v>25</v>
      </c>
      <c r="I556" t="s">
        <v>1783</v>
      </c>
      <c r="J556">
        <v>1</v>
      </c>
    </row>
    <row r="557" spans="1:10" x14ac:dyDescent="0.3">
      <c r="A557">
        <v>1084</v>
      </c>
      <c r="B557" t="s">
        <v>1784</v>
      </c>
      <c r="C557">
        <v>69</v>
      </c>
      <c r="D557" t="s">
        <v>23</v>
      </c>
      <c r="E557" s="1">
        <v>45743</v>
      </c>
      <c r="F557" s="1">
        <v>45390</v>
      </c>
      <c r="G557" t="s">
        <v>1785</v>
      </c>
      <c r="H557" t="s">
        <v>29</v>
      </c>
      <c r="I557" t="s">
        <v>1786</v>
      </c>
      <c r="J557" t="s">
        <v>65</v>
      </c>
    </row>
    <row r="558" spans="1:10" x14ac:dyDescent="0.3">
      <c r="A558">
        <v>1005</v>
      </c>
      <c r="B558" t="s">
        <v>1787</v>
      </c>
      <c r="C558">
        <v>84</v>
      </c>
      <c r="D558" t="s">
        <v>41</v>
      </c>
      <c r="E558" s="1">
        <v>46027</v>
      </c>
      <c r="F558" s="1">
        <v>45968</v>
      </c>
      <c r="G558" t="s">
        <v>1788</v>
      </c>
      <c r="H558" t="s">
        <v>13</v>
      </c>
      <c r="I558" t="s">
        <v>1789</v>
      </c>
      <c r="J558" t="s">
        <v>65</v>
      </c>
    </row>
    <row r="559" spans="1:10" x14ac:dyDescent="0.3">
      <c r="A559">
        <v>1011</v>
      </c>
      <c r="B559" t="s">
        <v>1790</v>
      </c>
      <c r="C559">
        <v>50</v>
      </c>
      <c r="D559" t="s">
        <v>11</v>
      </c>
      <c r="E559" s="2">
        <v>45975</v>
      </c>
      <c r="F559" t="s">
        <v>1455</v>
      </c>
      <c r="G559" t="s">
        <v>1791</v>
      </c>
      <c r="H559" t="s">
        <v>13</v>
      </c>
      <c r="I559" t="s">
        <v>1792</v>
      </c>
      <c r="J559">
        <v>0</v>
      </c>
    </row>
    <row r="560" spans="1:10" x14ac:dyDescent="0.3">
      <c r="A560">
        <v>1085</v>
      </c>
      <c r="B560" t="s">
        <v>1793</v>
      </c>
      <c r="C560">
        <v>28</v>
      </c>
      <c r="D560" t="s">
        <v>11</v>
      </c>
      <c r="E560" s="1">
        <v>46237</v>
      </c>
      <c r="F560" s="1">
        <v>45516</v>
      </c>
      <c r="G560" t="s">
        <v>1794</v>
      </c>
      <c r="H560" t="s">
        <v>19</v>
      </c>
      <c r="J560">
        <v>0</v>
      </c>
    </row>
    <row r="561" spans="1:10" x14ac:dyDescent="0.3">
      <c r="A561">
        <v>1005</v>
      </c>
      <c r="B561" t="s">
        <v>1795</v>
      </c>
      <c r="C561">
        <v>24</v>
      </c>
      <c r="D561" t="s">
        <v>41</v>
      </c>
      <c r="E561" s="2">
        <v>45821</v>
      </c>
      <c r="F561" s="1">
        <v>45449</v>
      </c>
      <c r="G561" t="s">
        <v>1796</v>
      </c>
      <c r="H561" t="s">
        <v>13</v>
      </c>
      <c r="I561" t="s">
        <v>1797</v>
      </c>
      <c r="J561" t="s">
        <v>65</v>
      </c>
    </row>
    <row r="562" spans="1:10" x14ac:dyDescent="0.3">
      <c r="A562">
        <v>1079</v>
      </c>
      <c r="B562" t="s">
        <v>1798</v>
      </c>
      <c r="C562">
        <v>52</v>
      </c>
      <c r="D562" t="s">
        <v>23</v>
      </c>
      <c r="E562" s="1">
        <v>45977</v>
      </c>
      <c r="F562" t="s">
        <v>365</v>
      </c>
      <c r="G562" t="s">
        <v>1799</v>
      </c>
      <c r="H562" t="s">
        <v>13</v>
      </c>
      <c r="I562" t="s">
        <v>1800</v>
      </c>
      <c r="J562">
        <v>0</v>
      </c>
    </row>
    <row r="563" spans="1:10" x14ac:dyDescent="0.3">
      <c r="A563">
        <v>1090</v>
      </c>
      <c r="B563" t="s">
        <v>1801</v>
      </c>
      <c r="C563">
        <v>53</v>
      </c>
      <c r="D563">
        <v>1</v>
      </c>
      <c r="E563" s="1">
        <v>46068</v>
      </c>
      <c r="F563" s="2">
        <v>45774</v>
      </c>
      <c r="G563" t="s">
        <v>1802</v>
      </c>
      <c r="H563" t="s">
        <v>19</v>
      </c>
      <c r="I563" t="s">
        <v>1803</v>
      </c>
      <c r="J563" t="s">
        <v>21</v>
      </c>
    </row>
    <row r="564" spans="1:10" x14ac:dyDescent="0.3">
      <c r="A564">
        <v>1068</v>
      </c>
      <c r="B564" t="s">
        <v>1804</v>
      </c>
      <c r="C564">
        <v>59</v>
      </c>
      <c r="D564">
        <v>1</v>
      </c>
      <c r="E564" t="s">
        <v>1805</v>
      </c>
      <c r="F564" s="1">
        <v>45492</v>
      </c>
      <c r="G564" t="s">
        <v>1806</v>
      </c>
      <c r="H564" t="s">
        <v>13</v>
      </c>
      <c r="I564" t="s">
        <v>1807</v>
      </c>
      <c r="J564" t="s">
        <v>65</v>
      </c>
    </row>
    <row r="565" spans="1:10" x14ac:dyDescent="0.3">
      <c r="A565">
        <v>1047</v>
      </c>
      <c r="B565" t="s">
        <v>1808</v>
      </c>
      <c r="C565">
        <v>31</v>
      </c>
      <c r="D565" t="s">
        <v>11</v>
      </c>
      <c r="E565" s="2">
        <v>45752</v>
      </c>
      <c r="F565" s="1">
        <v>45509</v>
      </c>
      <c r="G565" t="s">
        <v>1809</v>
      </c>
      <c r="H565" t="s">
        <v>13</v>
      </c>
      <c r="I565" t="s">
        <v>1810</v>
      </c>
      <c r="J565" t="s">
        <v>65</v>
      </c>
    </row>
    <row r="566" spans="1:10" x14ac:dyDescent="0.3">
      <c r="A566">
        <v>1009</v>
      </c>
      <c r="B566" t="s">
        <v>1811</v>
      </c>
      <c r="C566">
        <v>74</v>
      </c>
      <c r="D566" t="s">
        <v>76</v>
      </c>
      <c r="E566" t="s">
        <v>1812</v>
      </c>
      <c r="F566" t="s">
        <v>1813</v>
      </c>
      <c r="G566" t="s">
        <v>1814</v>
      </c>
      <c r="H566" t="s">
        <v>13</v>
      </c>
      <c r="I566" t="s">
        <v>1815</v>
      </c>
      <c r="J566" t="s">
        <v>31</v>
      </c>
    </row>
    <row r="567" spans="1:10" x14ac:dyDescent="0.3">
      <c r="A567">
        <v>1084</v>
      </c>
      <c r="B567" t="s">
        <v>1816</v>
      </c>
      <c r="C567">
        <v>83</v>
      </c>
      <c r="D567" t="s">
        <v>23</v>
      </c>
      <c r="E567" s="1">
        <v>46055</v>
      </c>
      <c r="F567" t="s">
        <v>1430</v>
      </c>
      <c r="G567" t="s">
        <v>1817</v>
      </c>
      <c r="H567" t="s">
        <v>29</v>
      </c>
      <c r="J567">
        <v>0</v>
      </c>
    </row>
    <row r="568" spans="1:10" x14ac:dyDescent="0.3">
      <c r="A568">
        <v>1016</v>
      </c>
      <c r="B568" t="s">
        <v>1818</v>
      </c>
      <c r="C568">
        <v>31</v>
      </c>
      <c r="D568">
        <v>1</v>
      </c>
      <c r="E568" s="2">
        <v>45957</v>
      </c>
      <c r="F568" s="1">
        <v>45728</v>
      </c>
      <c r="G568" t="s">
        <v>1819</v>
      </c>
      <c r="H568" t="s">
        <v>19</v>
      </c>
      <c r="I568" t="s">
        <v>1820</v>
      </c>
      <c r="J568" t="s">
        <v>21</v>
      </c>
    </row>
    <row r="569" spans="1:10" x14ac:dyDescent="0.3">
      <c r="A569">
        <v>1068</v>
      </c>
      <c r="B569" t="s">
        <v>1821</v>
      </c>
      <c r="C569">
        <v>63</v>
      </c>
      <c r="D569" t="s">
        <v>56</v>
      </c>
      <c r="E569" s="1">
        <v>45698</v>
      </c>
      <c r="F569" s="2">
        <v>45449</v>
      </c>
      <c r="G569" t="s">
        <v>1822</v>
      </c>
      <c r="H569" t="s">
        <v>29</v>
      </c>
      <c r="I569" t="s">
        <v>1823</v>
      </c>
      <c r="J569" t="s">
        <v>65</v>
      </c>
    </row>
    <row r="570" spans="1:10" x14ac:dyDescent="0.3">
      <c r="A570">
        <v>1048</v>
      </c>
      <c r="B570" t="s">
        <v>1824</v>
      </c>
      <c r="C570">
        <v>47</v>
      </c>
      <c r="D570" t="s">
        <v>16</v>
      </c>
      <c r="E570" s="1">
        <v>45875</v>
      </c>
      <c r="F570" s="2">
        <v>45859</v>
      </c>
      <c r="G570" t="s">
        <v>1825</v>
      </c>
      <c r="H570" t="s">
        <v>25</v>
      </c>
      <c r="I570" t="s">
        <v>1826</v>
      </c>
      <c r="J570" t="s">
        <v>39</v>
      </c>
    </row>
    <row r="571" spans="1:10" x14ac:dyDescent="0.3">
      <c r="A571">
        <v>1080</v>
      </c>
      <c r="B571" t="s">
        <v>1827</v>
      </c>
      <c r="C571">
        <v>52</v>
      </c>
      <c r="D571" t="s">
        <v>23</v>
      </c>
      <c r="E571" s="2">
        <v>45881</v>
      </c>
      <c r="F571" t="s">
        <v>1828</v>
      </c>
      <c r="G571" t="s">
        <v>1829</v>
      </c>
      <c r="H571" t="s">
        <v>19</v>
      </c>
      <c r="I571" t="s">
        <v>1830</v>
      </c>
      <c r="J571" t="s">
        <v>31</v>
      </c>
    </row>
    <row r="572" spans="1:10" x14ac:dyDescent="0.3">
      <c r="A572">
        <v>1030</v>
      </c>
      <c r="B572" t="s">
        <v>1831</v>
      </c>
      <c r="C572">
        <v>66</v>
      </c>
      <c r="D572" t="s">
        <v>11</v>
      </c>
      <c r="E572" s="2">
        <v>45953</v>
      </c>
      <c r="F572" s="2">
        <v>45437</v>
      </c>
      <c r="G572" t="s">
        <v>1832</v>
      </c>
      <c r="H572" t="s">
        <v>13</v>
      </c>
      <c r="I572" t="s">
        <v>1833</v>
      </c>
      <c r="J572" t="s">
        <v>21</v>
      </c>
    </row>
    <row r="573" spans="1:10" x14ac:dyDescent="0.3">
      <c r="A573">
        <v>1003</v>
      </c>
      <c r="B573" t="s">
        <v>1834</v>
      </c>
      <c r="C573">
        <v>48</v>
      </c>
      <c r="D573" t="s">
        <v>56</v>
      </c>
      <c r="E573" s="2">
        <v>45863</v>
      </c>
      <c r="F573" t="s">
        <v>1835</v>
      </c>
      <c r="G573" t="s">
        <v>1836</v>
      </c>
      <c r="H573" t="s">
        <v>19</v>
      </c>
      <c r="I573" t="s">
        <v>1837</v>
      </c>
      <c r="J573" t="s">
        <v>65</v>
      </c>
    </row>
    <row r="574" spans="1:10" x14ac:dyDescent="0.3">
      <c r="A574">
        <v>1047</v>
      </c>
      <c r="B574" t="s">
        <v>1838</v>
      </c>
      <c r="C574">
        <v>74</v>
      </c>
      <c r="D574">
        <v>0</v>
      </c>
      <c r="E574" s="2">
        <v>45949</v>
      </c>
      <c r="F574" s="1">
        <v>45511</v>
      </c>
      <c r="G574" t="s">
        <v>1839</v>
      </c>
      <c r="H574" t="s">
        <v>19</v>
      </c>
      <c r="I574" t="s">
        <v>1840</v>
      </c>
      <c r="J574">
        <v>1</v>
      </c>
    </row>
    <row r="575" spans="1:10" x14ac:dyDescent="0.3">
      <c r="A575">
        <v>1075</v>
      </c>
      <c r="B575" t="s">
        <v>1841</v>
      </c>
      <c r="C575">
        <v>72</v>
      </c>
      <c r="D575">
        <v>1</v>
      </c>
      <c r="E575" t="s">
        <v>970</v>
      </c>
      <c r="F575" s="2">
        <v>45527</v>
      </c>
      <c r="G575" t="s">
        <v>1842</v>
      </c>
      <c r="H575" t="s">
        <v>25</v>
      </c>
      <c r="I575" t="s">
        <v>1843</v>
      </c>
      <c r="J575">
        <v>1</v>
      </c>
    </row>
    <row r="576" spans="1:10" x14ac:dyDescent="0.3">
      <c r="A576">
        <v>1072</v>
      </c>
      <c r="B576" t="s">
        <v>1844</v>
      </c>
      <c r="C576">
        <v>49</v>
      </c>
      <c r="D576">
        <v>0</v>
      </c>
      <c r="E576" s="2">
        <v>45760</v>
      </c>
      <c r="F576" s="2">
        <v>45570</v>
      </c>
      <c r="G576" t="s">
        <v>1845</v>
      </c>
      <c r="H576" t="s">
        <v>19</v>
      </c>
      <c r="I576" t="s">
        <v>1846</v>
      </c>
      <c r="J576" t="s">
        <v>65</v>
      </c>
    </row>
    <row r="577" spans="1:10" x14ac:dyDescent="0.3">
      <c r="A577">
        <v>1001</v>
      </c>
      <c r="B577" t="s">
        <v>1847</v>
      </c>
      <c r="C577">
        <v>33</v>
      </c>
      <c r="D577" t="s">
        <v>16</v>
      </c>
      <c r="E577" s="1">
        <v>45975</v>
      </c>
      <c r="F577" s="1">
        <v>45906</v>
      </c>
      <c r="G577" t="s">
        <v>1848</v>
      </c>
      <c r="H577" t="s">
        <v>25</v>
      </c>
      <c r="I577" t="s">
        <v>1849</v>
      </c>
      <c r="J577" t="s">
        <v>31</v>
      </c>
    </row>
    <row r="578" spans="1:10" x14ac:dyDescent="0.3">
      <c r="A578">
        <v>1009</v>
      </c>
      <c r="B578" t="s">
        <v>1850</v>
      </c>
      <c r="C578">
        <v>61</v>
      </c>
      <c r="D578">
        <v>1</v>
      </c>
      <c r="E578" s="2">
        <v>46023</v>
      </c>
      <c r="F578" t="s">
        <v>184</v>
      </c>
      <c r="G578" t="s">
        <v>1851</v>
      </c>
      <c r="H578" t="s">
        <v>29</v>
      </c>
      <c r="I578" t="s">
        <v>1852</v>
      </c>
      <c r="J578" t="s">
        <v>65</v>
      </c>
    </row>
    <row r="579" spans="1:10" x14ac:dyDescent="0.3">
      <c r="A579">
        <v>1016</v>
      </c>
      <c r="B579" t="s">
        <v>1853</v>
      </c>
      <c r="C579">
        <v>29</v>
      </c>
      <c r="D579" t="s">
        <v>56</v>
      </c>
      <c r="E579" s="2">
        <v>45971</v>
      </c>
      <c r="F579" s="2">
        <v>45794</v>
      </c>
      <c r="G579" t="s">
        <v>1854</v>
      </c>
      <c r="H579" t="s">
        <v>13</v>
      </c>
      <c r="I579" t="s">
        <v>1855</v>
      </c>
      <c r="J579" t="s">
        <v>21</v>
      </c>
    </row>
    <row r="580" spans="1:10" x14ac:dyDescent="0.3">
      <c r="A580">
        <v>1092</v>
      </c>
      <c r="B580" t="s">
        <v>1856</v>
      </c>
      <c r="C580">
        <v>54</v>
      </c>
      <c r="D580">
        <v>1</v>
      </c>
      <c r="E580" s="2">
        <v>45870</v>
      </c>
      <c r="F580" s="2">
        <v>45419</v>
      </c>
      <c r="G580" t="s">
        <v>1857</v>
      </c>
      <c r="H580" t="s">
        <v>29</v>
      </c>
      <c r="I580" t="s">
        <v>1858</v>
      </c>
      <c r="J580">
        <v>1</v>
      </c>
    </row>
    <row r="581" spans="1:10" x14ac:dyDescent="0.3">
      <c r="A581">
        <v>1001</v>
      </c>
      <c r="B581" t="s">
        <v>1859</v>
      </c>
      <c r="C581">
        <v>70</v>
      </c>
      <c r="D581" t="s">
        <v>76</v>
      </c>
      <c r="E581" t="s">
        <v>1860</v>
      </c>
      <c r="F581" s="1">
        <v>45674</v>
      </c>
      <c r="G581" t="s">
        <v>1861</v>
      </c>
      <c r="H581" t="s">
        <v>29</v>
      </c>
      <c r="I581" t="s">
        <v>1862</v>
      </c>
      <c r="J581" t="s">
        <v>21</v>
      </c>
    </row>
    <row r="582" spans="1:10" x14ac:dyDescent="0.3">
      <c r="A582">
        <v>1063</v>
      </c>
      <c r="B582" t="s">
        <v>1863</v>
      </c>
      <c r="C582">
        <v>48</v>
      </c>
      <c r="D582" t="s">
        <v>76</v>
      </c>
      <c r="E582" t="s">
        <v>1864</v>
      </c>
      <c r="F582" s="1">
        <v>45397</v>
      </c>
      <c r="G582" t="s">
        <v>1865</v>
      </c>
      <c r="H582" t="s">
        <v>25</v>
      </c>
      <c r="I582" t="s">
        <v>1866</v>
      </c>
      <c r="J582" t="s">
        <v>31</v>
      </c>
    </row>
    <row r="583" spans="1:10" x14ac:dyDescent="0.3">
      <c r="A583">
        <v>1061</v>
      </c>
      <c r="B583" t="s">
        <v>1867</v>
      </c>
      <c r="C583">
        <v>67</v>
      </c>
      <c r="D583" t="s">
        <v>23</v>
      </c>
      <c r="E583" t="s">
        <v>1868</v>
      </c>
      <c r="F583" s="2">
        <v>45657</v>
      </c>
      <c r="G583" t="s">
        <v>1869</v>
      </c>
      <c r="H583" t="s">
        <v>29</v>
      </c>
      <c r="I583" t="s">
        <v>1870</v>
      </c>
      <c r="J583">
        <v>1</v>
      </c>
    </row>
    <row r="584" spans="1:10" x14ac:dyDescent="0.3">
      <c r="A584">
        <v>1036</v>
      </c>
      <c r="B584" t="s">
        <v>1871</v>
      </c>
      <c r="C584">
        <v>41</v>
      </c>
      <c r="D584" t="s">
        <v>56</v>
      </c>
      <c r="E584" s="2">
        <v>45837</v>
      </c>
      <c r="F584" s="2">
        <v>45556</v>
      </c>
      <c r="G584" t="s">
        <v>1872</v>
      </c>
      <c r="H584" t="s">
        <v>13</v>
      </c>
      <c r="I584" t="s">
        <v>1873</v>
      </c>
      <c r="J584" t="s">
        <v>65</v>
      </c>
    </row>
    <row r="585" spans="1:10" x14ac:dyDescent="0.3">
      <c r="A585">
        <v>1015</v>
      </c>
      <c r="B585" t="s">
        <v>1874</v>
      </c>
      <c r="C585">
        <v>87</v>
      </c>
      <c r="E585" s="2">
        <v>45787</v>
      </c>
      <c r="F585" s="2">
        <v>45694</v>
      </c>
      <c r="G585" t="s">
        <v>1875</v>
      </c>
      <c r="H585" t="s">
        <v>13</v>
      </c>
      <c r="I585" t="s">
        <v>1876</v>
      </c>
      <c r="J585" t="s">
        <v>39</v>
      </c>
    </row>
    <row r="586" spans="1:10" x14ac:dyDescent="0.3">
      <c r="A586">
        <v>1069</v>
      </c>
      <c r="B586" t="s">
        <v>1877</v>
      </c>
      <c r="C586">
        <v>40</v>
      </c>
      <c r="D586">
        <v>0</v>
      </c>
      <c r="E586" s="1">
        <v>46000</v>
      </c>
      <c r="F586" s="2">
        <v>45941</v>
      </c>
      <c r="G586" t="s">
        <v>1878</v>
      </c>
      <c r="H586" t="s">
        <v>29</v>
      </c>
      <c r="I586" t="s">
        <v>1879</v>
      </c>
      <c r="J586" t="s">
        <v>39</v>
      </c>
    </row>
    <row r="587" spans="1:10" x14ac:dyDescent="0.3">
      <c r="A587">
        <v>1029</v>
      </c>
      <c r="B587" t="s">
        <v>1880</v>
      </c>
      <c r="C587">
        <v>55</v>
      </c>
      <c r="D587" t="s">
        <v>76</v>
      </c>
      <c r="E587" s="2">
        <v>45945</v>
      </c>
      <c r="F587" t="s">
        <v>1881</v>
      </c>
      <c r="G587" t="s">
        <v>1882</v>
      </c>
      <c r="H587" t="s">
        <v>19</v>
      </c>
      <c r="I587" t="s">
        <v>1883</v>
      </c>
      <c r="J587" t="s">
        <v>31</v>
      </c>
    </row>
    <row r="588" spans="1:10" x14ac:dyDescent="0.3">
      <c r="A588">
        <v>1037</v>
      </c>
      <c r="B588" t="s">
        <v>1884</v>
      </c>
      <c r="C588">
        <v>90</v>
      </c>
      <c r="D588">
        <v>1</v>
      </c>
      <c r="E588" s="1">
        <v>45881</v>
      </c>
      <c r="F588" s="2">
        <v>45510</v>
      </c>
      <c r="G588" t="s">
        <v>1885</v>
      </c>
      <c r="H588" t="s">
        <v>13</v>
      </c>
      <c r="I588" t="s">
        <v>1886</v>
      </c>
      <c r="J588" t="s">
        <v>65</v>
      </c>
    </row>
    <row r="589" spans="1:10" x14ac:dyDescent="0.3">
      <c r="A589">
        <v>1071</v>
      </c>
      <c r="B589" t="s">
        <v>1887</v>
      </c>
      <c r="C589">
        <v>25</v>
      </c>
      <c r="D589" t="s">
        <v>11</v>
      </c>
      <c r="E589" t="s">
        <v>1888</v>
      </c>
      <c r="F589" s="1">
        <v>45982</v>
      </c>
      <c r="G589" t="s">
        <v>1889</v>
      </c>
      <c r="H589" t="s">
        <v>29</v>
      </c>
      <c r="I589" t="s">
        <v>1890</v>
      </c>
      <c r="J589">
        <v>0</v>
      </c>
    </row>
    <row r="590" spans="1:10" x14ac:dyDescent="0.3">
      <c r="A590">
        <v>1023</v>
      </c>
      <c r="B590" t="s">
        <v>1891</v>
      </c>
      <c r="C590">
        <v>46</v>
      </c>
      <c r="D590" t="s">
        <v>41</v>
      </c>
      <c r="E590" s="2">
        <v>46060</v>
      </c>
      <c r="F590" t="s">
        <v>1892</v>
      </c>
      <c r="G590" t="s">
        <v>1893</v>
      </c>
      <c r="H590" t="s">
        <v>25</v>
      </c>
      <c r="I590" t="s">
        <v>1894</v>
      </c>
      <c r="J590">
        <v>1</v>
      </c>
    </row>
    <row r="591" spans="1:10" x14ac:dyDescent="0.3">
      <c r="A591">
        <v>1074</v>
      </c>
      <c r="B591" t="s">
        <v>1895</v>
      </c>
      <c r="C591">
        <v>75</v>
      </c>
      <c r="D591">
        <v>1</v>
      </c>
      <c r="E591" s="2">
        <v>45884</v>
      </c>
      <c r="F591" t="s">
        <v>1896</v>
      </c>
      <c r="G591" t="s">
        <v>1897</v>
      </c>
      <c r="H591" t="s">
        <v>25</v>
      </c>
      <c r="I591" t="s">
        <v>1898</v>
      </c>
      <c r="J591" t="s">
        <v>21</v>
      </c>
    </row>
    <row r="592" spans="1:10" x14ac:dyDescent="0.3">
      <c r="A592">
        <v>1039</v>
      </c>
      <c r="B592" t="s">
        <v>1899</v>
      </c>
      <c r="C592">
        <v>68</v>
      </c>
      <c r="D592" t="s">
        <v>56</v>
      </c>
      <c r="E592" s="1">
        <v>45693</v>
      </c>
      <c r="F592" s="2">
        <v>45703</v>
      </c>
      <c r="G592" t="s">
        <v>1721</v>
      </c>
      <c r="H592" t="s">
        <v>19</v>
      </c>
      <c r="I592" t="s">
        <v>1900</v>
      </c>
      <c r="J592" t="s">
        <v>31</v>
      </c>
    </row>
    <row r="593" spans="1:10" x14ac:dyDescent="0.3">
      <c r="A593">
        <v>1071</v>
      </c>
      <c r="B593" t="s">
        <v>1901</v>
      </c>
      <c r="C593">
        <v>88</v>
      </c>
      <c r="D593" t="s">
        <v>23</v>
      </c>
      <c r="E593" s="1">
        <v>45789</v>
      </c>
      <c r="F593" s="2">
        <v>45506</v>
      </c>
      <c r="G593" t="s">
        <v>1902</v>
      </c>
      <c r="H593" t="s">
        <v>25</v>
      </c>
      <c r="I593" t="s">
        <v>1903</v>
      </c>
      <c r="J593" t="s">
        <v>21</v>
      </c>
    </row>
    <row r="594" spans="1:10" x14ac:dyDescent="0.3">
      <c r="A594">
        <v>1039</v>
      </c>
      <c r="B594" t="s">
        <v>1904</v>
      </c>
      <c r="C594">
        <v>47</v>
      </c>
      <c r="D594" t="s">
        <v>16</v>
      </c>
      <c r="E594" t="s">
        <v>992</v>
      </c>
      <c r="F594" s="2">
        <v>45419</v>
      </c>
      <c r="G594" t="s">
        <v>1905</v>
      </c>
      <c r="H594" t="s">
        <v>19</v>
      </c>
      <c r="I594" t="s">
        <v>1906</v>
      </c>
      <c r="J594" t="s">
        <v>21</v>
      </c>
    </row>
    <row r="595" spans="1:10" x14ac:dyDescent="0.3">
      <c r="A595">
        <v>1082</v>
      </c>
      <c r="B595" t="s">
        <v>1907</v>
      </c>
      <c r="C595">
        <v>57</v>
      </c>
      <c r="D595">
        <v>0</v>
      </c>
      <c r="E595" s="1">
        <v>45965</v>
      </c>
      <c r="F595" t="s">
        <v>1908</v>
      </c>
      <c r="G595" t="s">
        <v>1909</v>
      </c>
      <c r="H595" t="s">
        <v>13</v>
      </c>
      <c r="I595" t="s">
        <v>1910</v>
      </c>
      <c r="J595">
        <v>0</v>
      </c>
    </row>
    <row r="596" spans="1:10" x14ac:dyDescent="0.3">
      <c r="A596">
        <v>1084</v>
      </c>
      <c r="B596" t="s">
        <v>1911</v>
      </c>
      <c r="C596">
        <v>71</v>
      </c>
      <c r="D596" t="s">
        <v>23</v>
      </c>
      <c r="E596" s="2">
        <v>45767</v>
      </c>
      <c r="F596" s="2">
        <v>45504</v>
      </c>
      <c r="G596" t="s">
        <v>1912</v>
      </c>
      <c r="H596" t="s">
        <v>13</v>
      </c>
      <c r="I596" t="s">
        <v>1913</v>
      </c>
      <c r="J596" t="s">
        <v>65</v>
      </c>
    </row>
    <row r="597" spans="1:10" x14ac:dyDescent="0.3">
      <c r="A597">
        <v>1089</v>
      </c>
      <c r="B597" t="s">
        <v>1914</v>
      </c>
      <c r="C597">
        <v>68</v>
      </c>
      <c r="D597" t="s">
        <v>11</v>
      </c>
      <c r="E597" s="1">
        <v>45750</v>
      </c>
      <c r="F597" s="1">
        <v>45510</v>
      </c>
      <c r="G597" t="s">
        <v>1915</v>
      </c>
      <c r="H597" t="s">
        <v>19</v>
      </c>
      <c r="I597" t="s">
        <v>1916</v>
      </c>
      <c r="J597">
        <v>0</v>
      </c>
    </row>
    <row r="598" spans="1:10" x14ac:dyDescent="0.3">
      <c r="A598">
        <v>1031</v>
      </c>
      <c r="B598" t="s">
        <v>744</v>
      </c>
      <c r="C598">
        <v>44</v>
      </c>
      <c r="D598" t="s">
        <v>23</v>
      </c>
      <c r="E598" s="2">
        <v>46041</v>
      </c>
      <c r="F598" s="2">
        <v>45457</v>
      </c>
      <c r="G598" t="s">
        <v>1917</v>
      </c>
      <c r="H598" t="s">
        <v>19</v>
      </c>
      <c r="I598" t="s">
        <v>1918</v>
      </c>
      <c r="J598" t="s">
        <v>65</v>
      </c>
    </row>
    <row r="599" spans="1:10" x14ac:dyDescent="0.3">
      <c r="A599">
        <v>1053</v>
      </c>
      <c r="B599" t="s">
        <v>1919</v>
      </c>
      <c r="C599">
        <v>70</v>
      </c>
      <c r="D599" t="s">
        <v>56</v>
      </c>
      <c r="E599" s="2">
        <v>46012</v>
      </c>
      <c r="F599" s="1">
        <v>45876</v>
      </c>
      <c r="G599" t="s">
        <v>1920</v>
      </c>
      <c r="H599" t="s">
        <v>25</v>
      </c>
      <c r="I599" t="s">
        <v>1921</v>
      </c>
      <c r="J599" t="s">
        <v>31</v>
      </c>
    </row>
    <row r="600" spans="1:10" x14ac:dyDescent="0.3">
      <c r="A600">
        <v>1048</v>
      </c>
      <c r="B600" t="s">
        <v>1922</v>
      </c>
      <c r="C600">
        <v>67</v>
      </c>
      <c r="D600" t="s">
        <v>56</v>
      </c>
      <c r="E600" s="1">
        <v>45841</v>
      </c>
      <c r="F600" t="s">
        <v>1923</v>
      </c>
      <c r="G600" t="s">
        <v>1924</v>
      </c>
      <c r="H600" t="s">
        <v>25</v>
      </c>
      <c r="J600" t="s">
        <v>39</v>
      </c>
    </row>
    <row r="601" spans="1:10" x14ac:dyDescent="0.3">
      <c r="A601">
        <v>1075</v>
      </c>
      <c r="B601" t="s">
        <v>1925</v>
      </c>
      <c r="C601">
        <v>67</v>
      </c>
      <c r="D601" t="s">
        <v>11</v>
      </c>
      <c r="E601" s="1">
        <v>45820</v>
      </c>
      <c r="F601" s="2">
        <v>45795</v>
      </c>
      <c r="G601" t="s">
        <v>1926</v>
      </c>
      <c r="H601" t="s">
        <v>25</v>
      </c>
      <c r="I601" t="s">
        <v>1927</v>
      </c>
      <c r="J601" t="s">
        <v>31</v>
      </c>
    </row>
    <row r="602" spans="1:10" x14ac:dyDescent="0.3">
      <c r="A602">
        <v>1033</v>
      </c>
      <c r="B602" t="s">
        <v>1928</v>
      </c>
      <c r="C602">
        <v>38</v>
      </c>
      <c r="D602">
        <v>0</v>
      </c>
      <c r="E602" s="1">
        <v>45796</v>
      </c>
      <c r="F602" t="s">
        <v>1929</v>
      </c>
      <c r="G602" t="s">
        <v>1930</v>
      </c>
      <c r="H602" t="s">
        <v>19</v>
      </c>
      <c r="I602" t="s">
        <v>1931</v>
      </c>
      <c r="J602">
        <v>0</v>
      </c>
    </row>
    <row r="603" spans="1:10" x14ac:dyDescent="0.3">
      <c r="A603">
        <v>1054</v>
      </c>
      <c r="B603" t="s">
        <v>1932</v>
      </c>
      <c r="C603">
        <v>82</v>
      </c>
      <c r="D603" t="s">
        <v>76</v>
      </c>
      <c r="E603" t="s">
        <v>970</v>
      </c>
      <c r="F603" s="2">
        <v>45383</v>
      </c>
      <c r="G603" t="s">
        <v>1933</v>
      </c>
      <c r="H603" t="s">
        <v>29</v>
      </c>
      <c r="I603" t="s">
        <v>1934</v>
      </c>
      <c r="J603" t="s">
        <v>39</v>
      </c>
    </row>
    <row r="604" spans="1:10" x14ac:dyDescent="0.3">
      <c r="A604">
        <v>1020</v>
      </c>
      <c r="B604" t="s">
        <v>1935</v>
      </c>
      <c r="C604">
        <v>53</v>
      </c>
      <c r="D604" t="s">
        <v>76</v>
      </c>
      <c r="E604" t="s">
        <v>1274</v>
      </c>
      <c r="F604" s="1">
        <v>45718</v>
      </c>
      <c r="G604" t="s">
        <v>1936</v>
      </c>
      <c r="H604" t="s">
        <v>25</v>
      </c>
      <c r="I604" t="s">
        <v>1937</v>
      </c>
      <c r="J604" t="s">
        <v>21</v>
      </c>
    </row>
    <row r="605" spans="1:10" x14ac:dyDescent="0.3">
      <c r="A605">
        <v>1006</v>
      </c>
      <c r="B605" t="s">
        <v>1938</v>
      </c>
      <c r="C605">
        <v>33</v>
      </c>
      <c r="D605">
        <v>0</v>
      </c>
      <c r="E605" s="2">
        <v>45780</v>
      </c>
      <c r="F605" t="s">
        <v>1939</v>
      </c>
      <c r="G605" t="s">
        <v>1940</v>
      </c>
      <c r="H605" t="s">
        <v>19</v>
      </c>
      <c r="I605" t="s">
        <v>1941</v>
      </c>
      <c r="J605">
        <v>0</v>
      </c>
    </row>
    <row r="606" spans="1:10" x14ac:dyDescent="0.3">
      <c r="A606">
        <v>1100</v>
      </c>
      <c r="B606" t="s">
        <v>1942</v>
      </c>
      <c r="C606">
        <v>60</v>
      </c>
      <c r="D606" t="s">
        <v>76</v>
      </c>
      <c r="E606" t="s">
        <v>1943</v>
      </c>
      <c r="F606" s="2">
        <v>45396</v>
      </c>
      <c r="G606" t="s">
        <v>1944</v>
      </c>
      <c r="H606" t="s">
        <v>25</v>
      </c>
      <c r="I606" t="s">
        <v>1945</v>
      </c>
      <c r="J606" t="s">
        <v>21</v>
      </c>
    </row>
    <row r="607" spans="1:10" x14ac:dyDescent="0.3">
      <c r="A607">
        <v>1061</v>
      </c>
      <c r="B607" t="s">
        <v>1946</v>
      </c>
      <c r="C607">
        <v>65</v>
      </c>
      <c r="D607" t="s">
        <v>76</v>
      </c>
      <c r="E607" s="1">
        <v>45970</v>
      </c>
      <c r="F607" t="s">
        <v>865</v>
      </c>
      <c r="G607" t="s">
        <v>1947</v>
      </c>
      <c r="H607" t="s">
        <v>25</v>
      </c>
      <c r="I607" t="s">
        <v>1948</v>
      </c>
      <c r="J607" t="s">
        <v>65</v>
      </c>
    </row>
    <row r="608" spans="1:10" x14ac:dyDescent="0.3">
      <c r="A608">
        <v>1040</v>
      </c>
      <c r="B608" t="s">
        <v>1711</v>
      </c>
      <c r="C608">
        <v>49</v>
      </c>
      <c r="D608" t="s">
        <v>16</v>
      </c>
      <c r="E608" s="1">
        <v>45829</v>
      </c>
      <c r="F608" s="2">
        <v>45573</v>
      </c>
      <c r="G608" t="s">
        <v>1949</v>
      </c>
      <c r="H608" t="s">
        <v>29</v>
      </c>
      <c r="I608" t="s">
        <v>1950</v>
      </c>
      <c r="J608" t="s">
        <v>65</v>
      </c>
    </row>
    <row r="609" spans="1:10" x14ac:dyDescent="0.3">
      <c r="A609">
        <v>1010</v>
      </c>
      <c r="B609" t="s">
        <v>1951</v>
      </c>
      <c r="C609">
        <v>23</v>
      </c>
      <c r="D609" t="s">
        <v>41</v>
      </c>
      <c r="E609" s="2">
        <v>45759</v>
      </c>
      <c r="F609" s="1">
        <v>45548</v>
      </c>
      <c r="G609" t="s">
        <v>1952</v>
      </c>
      <c r="H609" t="s">
        <v>13</v>
      </c>
      <c r="I609" t="s">
        <v>1953</v>
      </c>
      <c r="J609">
        <v>0</v>
      </c>
    </row>
    <row r="610" spans="1:10" x14ac:dyDescent="0.3">
      <c r="A610">
        <v>1030</v>
      </c>
      <c r="B610" t="s">
        <v>1954</v>
      </c>
      <c r="C610">
        <v>69</v>
      </c>
      <c r="D610" t="s">
        <v>76</v>
      </c>
      <c r="E610" s="1">
        <v>46054</v>
      </c>
      <c r="F610" s="2">
        <v>45558</v>
      </c>
      <c r="G610" t="s">
        <v>1955</v>
      </c>
      <c r="H610" t="s">
        <v>25</v>
      </c>
      <c r="I610" t="s">
        <v>1956</v>
      </c>
      <c r="J610" t="s">
        <v>21</v>
      </c>
    </row>
    <row r="611" spans="1:10" x14ac:dyDescent="0.3">
      <c r="A611">
        <v>1093</v>
      </c>
      <c r="B611" t="s">
        <v>1957</v>
      </c>
      <c r="C611">
        <v>72</v>
      </c>
      <c r="D611" t="s">
        <v>76</v>
      </c>
      <c r="E611" s="1">
        <v>45828</v>
      </c>
      <c r="F611" s="2">
        <v>45553</v>
      </c>
      <c r="G611" t="s">
        <v>1958</v>
      </c>
      <c r="H611" t="s">
        <v>29</v>
      </c>
      <c r="I611" t="s">
        <v>1959</v>
      </c>
      <c r="J611" t="s">
        <v>21</v>
      </c>
    </row>
    <row r="612" spans="1:10" x14ac:dyDescent="0.3">
      <c r="A612">
        <v>1008</v>
      </c>
      <c r="B612" t="s">
        <v>1960</v>
      </c>
      <c r="C612">
        <v>82</v>
      </c>
      <c r="D612" t="s">
        <v>56</v>
      </c>
      <c r="E612" s="1">
        <v>46084</v>
      </c>
      <c r="F612" s="1">
        <v>45599</v>
      </c>
      <c r="G612" t="s">
        <v>1961</v>
      </c>
      <c r="H612" t="s">
        <v>13</v>
      </c>
      <c r="I612" t="s">
        <v>1962</v>
      </c>
      <c r="J612">
        <v>0</v>
      </c>
    </row>
    <row r="613" spans="1:10" x14ac:dyDescent="0.3">
      <c r="A613">
        <v>1087</v>
      </c>
      <c r="B613" t="s">
        <v>1963</v>
      </c>
      <c r="C613">
        <v>69</v>
      </c>
      <c r="D613" t="s">
        <v>41</v>
      </c>
      <c r="E613" s="2">
        <v>45932</v>
      </c>
      <c r="F613" t="s">
        <v>1964</v>
      </c>
      <c r="G613" t="s">
        <v>1965</v>
      </c>
      <c r="H613" t="s">
        <v>13</v>
      </c>
      <c r="I613" t="s">
        <v>1966</v>
      </c>
      <c r="J613" t="s">
        <v>21</v>
      </c>
    </row>
    <row r="614" spans="1:10" x14ac:dyDescent="0.3">
      <c r="A614">
        <v>1008</v>
      </c>
      <c r="B614" t="s">
        <v>1967</v>
      </c>
      <c r="C614">
        <v>30</v>
      </c>
      <c r="D614" t="s">
        <v>23</v>
      </c>
      <c r="E614" s="1">
        <v>46074</v>
      </c>
      <c r="F614" s="1">
        <v>45800</v>
      </c>
      <c r="G614" t="s">
        <v>1968</v>
      </c>
      <c r="H614" t="s">
        <v>13</v>
      </c>
      <c r="I614" t="s">
        <v>1969</v>
      </c>
      <c r="J614" t="s">
        <v>21</v>
      </c>
    </row>
    <row r="615" spans="1:10" x14ac:dyDescent="0.3">
      <c r="A615">
        <v>1090</v>
      </c>
      <c r="B615" t="s">
        <v>1970</v>
      </c>
      <c r="C615">
        <v>30</v>
      </c>
      <c r="D615" t="s">
        <v>11</v>
      </c>
      <c r="E615" s="1">
        <v>45801</v>
      </c>
      <c r="F615" s="1">
        <v>45419</v>
      </c>
      <c r="G615" t="s">
        <v>1971</v>
      </c>
      <c r="H615" t="s">
        <v>25</v>
      </c>
      <c r="I615" t="s">
        <v>1972</v>
      </c>
      <c r="J615">
        <v>1</v>
      </c>
    </row>
    <row r="616" spans="1:10" x14ac:dyDescent="0.3">
      <c r="A616">
        <v>1047</v>
      </c>
      <c r="B616" t="s">
        <v>1973</v>
      </c>
      <c r="C616">
        <v>39</v>
      </c>
      <c r="D616">
        <v>1</v>
      </c>
      <c r="E616" t="s">
        <v>1974</v>
      </c>
      <c r="F616" t="s">
        <v>1429</v>
      </c>
      <c r="G616" t="s">
        <v>1975</v>
      </c>
      <c r="H616" t="s">
        <v>25</v>
      </c>
      <c r="I616" t="s">
        <v>1976</v>
      </c>
      <c r="J616" t="s">
        <v>31</v>
      </c>
    </row>
    <row r="617" spans="1:10" x14ac:dyDescent="0.3">
      <c r="A617">
        <v>1077</v>
      </c>
      <c r="B617" t="s">
        <v>1977</v>
      </c>
      <c r="C617">
        <v>78</v>
      </c>
      <c r="D617">
        <v>0</v>
      </c>
      <c r="E617" s="2">
        <v>46010</v>
      </c>
      <c r="F617" s="2">
        <v>45915</v>
      </c>
      <c r="G617" t="s">
        <v>1978</v>
      </c>
      <c r="H617" t="s">
        <v>19</v>
      </c>
      <c r="I617" t="s">
        <v>1979</v>
      </c>
      <c r="J617">
        <v>1</v>
      </c>
    </row>
    <row r="618" spans="1:10" x14ac:dyDescent="0.3">
      <c r="A618">
        <v>1055</v>
      </c>
      <c r="B618" t="s">
        <v>1980</v>
      </c>
      <c r="C618">
        <v>70</v>
      </c>
      <c r="D618" t="s">
        <v>41</v>
      </c>
      <c r="E618" t="s">
        <v>1198</v>
      </c>
      <c r="F618" s="1">
        <v>45645</v>
      </c>
      <c r="G618" t="s">
        <v>1981</v>
      </c>
      <c r="H618" t="s">
        <v>19</v>
      </c>
      <c r="I618" t="s">
        <v>1982</v>
      </c>
      <c r="J618">
        <v>0</v>
      </c>
    </row>
    <row r="619" spans="1:10" x14ac:dyDescent="0.3">
      <c r="A619">
        <v>1073</v>
      </c>
      <c r="B619" t="s">
        <v>1983</v>
      </c>
      <c r="C619">
        <v>50</v>
      </c>
      <c r="E619" s="1">
        <v>46041</v>
      </c>
      <c r="F619" s="1">
        <v>45383</v>
      </c>
      <c r="G619" t="s">
        <v>1984</v>
      </c>
      <c r="H619" t="s">
        <v>25</v>
      </c>
      <c r="I619" t="s">
        <v>1985</v>
      </c>
      <c r="J619">
        <v>0</v>
      </c>
    </row>
    <row r="620" spans="1:10" x14ac:dyDescent="0.3">
      <c r="A620">
        <v>1016</v>
      </c>
      <c r="B620" t="s">
        <v>1986</v>
      </c>
      <c r="C620">
        <v>40</v>
      </c>
      <c r="E620" s="2">
        <v>45807</v>
      </c>
      <c r="F620" t="s">
        <v>17</v>
      </c>
      <c r="G620" t="s">
        <v>1987</v>
      </c>
      <c r="H620" t="s">
        <v>19</v>
      </c>
      <c r="I620" t="s">
        <v>1988</v>
      </c>
      <c r="J620">
        <v>1</v>
      </c>
    </row>
    <row r="621" spans="1:10" x14ac:dyDescent="0.3">
      <c r="A621">
        <v>1018</v>
      </c>
      <c r="B621" t="s">
        <v>1989</v>
      </c>
      <c r="C621">
        <v>56</v>
      </c>
      <c r="D621" t="s">
        <v>11</v>
      </c>
      <c r="E621" t="s">
        <v>1990</v>
      </c>
      <c r="F621" s="2">
        <v>45696</v>
      </c>
      <c r="G621" t="s">
        <v>1991</v>
      </c>
      <c r="H621" t="s">
        <v>13</v>
      </c>
      <c r="I621" t="s">
        <v>1992</v>
      </c>
      <c r="J621">
        <v>1</v>
      </c>
    </row>
    <row r="622" spans="1:10" x14ac:dyDescent="0.3">
      <c r="A622">
        <v>1035</v>
      </c>
      <c r="B622" t="s">
        <v>1993</v>
      </c>
      <c r="C622">
        <v>90</v>
      </c>
      <c r="D622">
        <v>0</v>
      </c>
      <c r="E622" s="2">
        <v>45876</v>
      </c>
      <c r="F622" s="2">
        <v>45649</v>
      </c>
      <c r="G622" t="s">
        <v>1994</v>
      </c>
      <c r="H622" t="s">
        <v>25</v>
      </c>
      <c r="I622" t="s">
        <v>1995</v>
      </c>
      <c r="J622">
        <v>0</v>
      </c>
    </row>
    <row r="623" spans="1:10" x14ac:dyDescent="0.3">
      <c r="A623">
        <v>1032</v>
      </c>
      <c r="B623" t="s">
        <v>1996</v>
      </c>
      <c r="C623">
        <v>89</v>
      </c>
      <c r="D623" t="s">
        <v>76</v>
      </c>
      <c r="E623" s="2">
        <v>46071</v>
      </c>
      <c r="F623" s="2">
        <v>45599</v>
      </c>
      <c r="G623" t="s">
        <v>1997</v>
      </c>
      <c r="H623" t="s">
        <v>19</v>
      </c>
      <c r="I623" t="s">
        <v>1998</v>
      </c>
      <c r="J623" t="s">
        <v>65</v>
      </c>
    </row>
    <row r="624" spans="1:10" x14ac:dyDescent="0.3">
      <c r="A624">
        <v>1024</v>
      </c>
      <c r="B624" t="s">
        <v>1999</v>
      </c>
      <c r="C624">
        <v>20</v>
      </c>
      <c r="D624" t="s">
        <v>23</v>
      </c>
      <c r="E624" s="2">
        <v>45977</v>
      </c>
      <c r="F624" s="2">
        <v>45615</v>
      </c>
      <c r="G624" t="s">
        <v>2000</v>
      </c>
      <c r="H624" t="s">
        <v>29</v>
      </c>
      <c r="I624" t="s">
        <v>2001</v>
      </c>
      <c r="J624" t="s">
        <v>65</v>
      </c>
    </row>
    <row r="625" spans="1:10" x14ac:dyDescent="0.3">
      <c r="A625">
        <v>1044</v>
      </c>
      <c r="B625" t="s">
        <v>2002</v>
      </c>
      <c r="C625">
        <v>25</v>
      </c>
      <c r="D625" t="s">
        <v>16</v>
      </c>
      <c r="E625" s="2">
        <v>46089</v>
      </c>
      <c r="F625" s="2">
        <v>45972</v>
      </c>
      <c r="G625" t="s">
        <v>2003</v>
      </c>
      <c r="H625" t="s">
        <v>29</v>
      </c>
      <c r="I625" t="s">
        <v>2004</v>
      </c>
      <c r="J625" t="s">
        <v>21</v>
      </c>
    </row>
    <row r="626" spans="1:10" x14ac:dyDescent="0.3">
      <c r="A626">
        <v>1085</v>
      </c>
      <c r="B626" t="s">
        <v>2005</v>
      </c>
      <c r="C626">
        <v>67</v>
      </c>
      <c r="D626" t="s">
        <v>41</v>
      </c>
      <c r="E626" s="2">
        <v>45797</v>
      </c>
      <c r="F626" s="2">
        <v>45736</v>
      </c>
      <c r="G626" t="s">
        <v>2006</v>
      </c>
      <c r="H626" t="s">
        <v>19</v>
      </c>
      <c r="I626" t="s">
        <v>2007</v>
      </c>
      <c r="J626" t="s">
        <v>65</v>
      </c>
    </row>
    <row r="627" spans="1:10" x14ac:dyDescent="0.3">
      <c r="A627">
        <v>1089</v>
      </c>
      <c r="B627" t="s">
        <v>2008</v>
      </c>
      <c r="C627">
        <v>75</v>
      </c>
      <c r="D627" t="s">
        <v>11</v>
      </c>
      <c r="E627" t="s">
        <v>2009</v>
      </c>
      <c r="F627" s="2">
        <v>45813</v>
      </c>
      <c r="G627" t="s">
        <v>2010</v>
      </c>
      <c r="H627" t="s">
        <v>13</v>
      </c>
      <c r="I627" t="s">
        <v>2011</v>
      </c>
      <c r="J627" t="s">
        <v>39</v>
      </c>
    </row>
    <row r="628" spans="1:10" x14ac:dyDescent="0.3">
      <c r="A628">
        <v>1064</v>
      </c>
      <c r="B628" t="s">
        <v>2012</v>
      </c>
      <c r="C628">
        <v>54</v>
      </c>
      <c r="D628">
        <v>1</v>
      </c>
      <c r="E628" s="1">
        <v>45849</v>
      </c>
      <c r="F628" s="1">
        <v>45468</v>
      </c>
      <c r="G628" t="s">
        <v>2013</v>
      </c>
      <c r="H628" t="s">
        <v>13</v>
      </c>
      <c r="I628" t="s">
        <v>2014</v>
      </c>
      <c r="J628" t="s">
        <v>21</v>
      </c>
    </row>
    <row r="629" spans="1:10" x14ac:dyDescent="0.3">
      <c r="A629">
        <v>1077</v>
      </c>
      <c r="B629" t="s">
        <v>2015</v>
      </c>
      <c r="C629">
        <v>57</v>
      </c>
      <c r="D629" t="s">
        <v>16</v>
      </c>
      <c r="E629" s="1">
        <v>45995</v>
      </c>
      <c r="F629" s="2">
        <v>45577</v>
      </c>
      <c r="G629" t="s">
        <v>2016</v>
      </c>
      <c r="H629" t="s">
        <v>25</v>
      </c>
      <c r="I629" t="s">
        <v>2017</v>
      </c>
      <c r="J629" t="s">
        <v>65</v>
      </c>
    </row>
    <row r="630" spans="1:10" x14ac:dyDescent="0.3">
      <c r="A630">
        <v>1092</v>
      </c>
      <c r="B630" t="s">
        <v>2018</v>
      </c>
      <c r="C630">
        <v>89</v>
      </c>
      <c r="D630" t="s">
        <v>16</v>
      </c>
      <c r="E630" s="1">
        <v>45840</v>
      </c>
      <c r="F630" s="2">
        <v>45755</v>
      </c>
      <c r="G630" t="s">
        <v>2019</v>
      </c>
      <c r="H630" t="s">
        <v>29</v>
      </c>
      <c r="I630" t="s">
        <v>2020</v>
      </c>
      <c r="J630" t="s">
        <v>31</v>
      </c>
    </row>
    <row r="631" spans="1:10" x14ac:dyDescent="0.3">
      <c r="A631">
        <v>1084</v>
      </c>
      <c r="B631" t="s">
        <v>2021</v>
      </c>
      <c r="C631">
        <v>42</v>
      </c>
      <c r="D631" t="s">
        <v>41</v>
      </c>
      <c r="E631" s="1">
        <v>45796</v>
      </c>
      <c r="F631" s="1">
        <v>45484</v>
      </c>
      <c r="G631" t="s">
        <v>2022</v>
      </c>
      <c r="H631" t="s">
        <v>29</v>
      </c>
      <c r="I631" t="s">
        <v>2023</v>
      </c>
      <c r="J631">
        <v>0</v>
      </c>
    </row>
    <row r="632" spans="1:10" x14ac:dyDescent="0.3">
      <c r="A632">
        <v>1044</v>
      </c>
      <c r="B632" t="s">
        <v>2024</v>
      </c>
      <c r="C632">
        <v>79</v>
      </c>
      <c r="D632">
        <v>0</v>
      </c>
      <c r="E632" s="2">
        <v>46014</v>
      </c>
      <c r="F632" s="2">
        <v>45707</v>
      </c>
      <c r="G632" t="s">
        <v>2025</v>
      </c>
      <c r="H632" t="s">
        <v>29</v>
      </c>
      <c r="I632" t="s">
        <v>2026</v>
      </c>
      <c r="J632">
        <v>1</v>
      </c>
    </row>
    <row r="633" spans="1:10" x14ac:dyDescent="0.3">
      <c r="A633">
        <v>1080</v>
      </c>
      <c r="B633" t="s">
        <v>2027</v>
      </c>
      <c r="C633">
        <v>80</v>
      </c>
      <c r="D633" t="s">
        <v>23</v>
      </c>
      <c r="E633" s="1">
        <v>46113</v>
      </c>
      <c r="F633" s="2">
        <v>45948</v>
      </c>
      <c r="G633" t="s">
        <v>2028</v>
      </c>
      <c r="H633" t="s">
        <v>29</v>
      </c>
      <c r="I633" t="s">
        <v>2029</v>
      </c>
      <c r="J633" t="s">
        <v>65</v>
      </c>
    </row>
    <row r="634" spans="1:10" x14ac:dyDescent="0.3">
      <c r="A634">
        <v>1097</v>
      </c>
      <c r="B634" t="s">
        <v>2030</v>
      </c>
      <c r="C634">
        <v>86</v>
      </c>
      <c r="E634" s="1">
        <v>45778</v>
      </c>
      <c r="F634" s="2">
        <v>45523</v>
      </c>
      <c r="G634" t="s">
        <v>2031</v>
      </c>
      <c r="H634" t="s">
        <v>13</v>
      </c>
      <c r="I634" t="s">
        <v>2032</v>
      </c>
      <c r="J634" t="s">
        <v>39</v>
      </c>
    </row>
    <row r="635" spans="1:10" x14ac:dyDescent="0.3">
      <c r="A635">
        <v>1035</v>
      </c>
      <c r="B635" t="s">
        <v>2033</v>
      </c>
      <c r="C635">
        <v>75</v>
      </c>
      <c r="D635" t="s">
        <v>56</v>
      </c>
      <c r="E635" t="s">
        <v>2034</v>
      </c>
      <c r="F635" s="2">
        <v>45659</v>
      </c>
      <c r="G635" t="s">
        <v>2035</v>
      </c>
      <c r="H635" t="s">
        <v>29</v>
      </c>
      <c r="I635" t="s">
        <v>2036</v>
      </c>
      <c r="J635" t="s">
        <v>39</v>
      </c>
    </row>
    <row r="636" spans="1:10" x14ac:dyDescent="0.3">
      <c r="A636">
        <v>1069</v>
      </c>
      <c r="B636" t="s">
        <v>2037</v>
      </c>
      <c r="C636">
        <v>23</v>
      </c>
      <c r="D636">
        <v>0</v>
      </c>
      <c r="E636" s="2">
        <v>45944</v>
      </c>
      <c r="F636" s="1">
        <v>45871</v>
      </c>
      <c r="G636" t="s">
        <v>2038</v>
      </c>
      <c r="H636" t="s">
        <v>25</v>
      </c>
      <c r="I636" t="s">
        <v>2039</v>
      </c>
      <c r="J636">
        <v>1</v>
      </c>
    </row>
    <row r="637" spans="1:10" x14ac:dyDescent="0.3">
      <c r="A637">
        <v>1016</v>
      </c>
      <c r="B637" t="s">
        <v>2040</v>
      </c>
      <c r="C637">
        <v>46</v>
      </c>
      <c r="D637" t="s">
        <v>23</v>
      </c>
      <c r="E637" t="s">
        <v>2041</v>
      </c>
      <c r="F637" s="2">
        <v>45584</v>
      </c>
      <c r="G637" t="s">
        <v>2042</v>
      </c>
      <c r="H637" t="s">
        <v>19</v>
      </c>
      <c r="I637" t="s">
        <v>2043</v>
      </c>
      <c r="J637">
        <v>1</v>
      </c>
    </row>
    <row r="638" spans="1:10" x14ac:dyDescent="0.3">
      <c r="A638">
        <v>1098</v>
      </c>
      <c r="B638" t="s">
        <v>2044</v>
      </c>
      <c r="C638">
        <v>29</v>
      </c>
      <c r="D638" t="s">
        <v>16</v>
      </c>
      <c r="E638" s="2">
        <v>45970</v>
      </c>
      <c r="F638" s="1">
        <v>45854</v>
      </c>
      <c r="G638" t="s">
        <v>2045</v>
      </c>
      <c r="H638" t="s">
        <v>13</v>
      </c>
      <c r="I638" t="s">
        <v>2046</v>
      </c>
      <c r="J638">
        <v>0</v>
      </c>
    </row>
    <row r="639" spans="1:10" x14ac:dyDescent="0.3">
      <c r="A639">
        <v>1012</v>
      </c>
      <c r="B639" t="s">
        <v>2047</v>
      </c>
      <c r="C639">
        <v>38</v>
      </c>
      <c r="D639" t="s">
        <v>23</v>
      </c>
      <c r="E639" s="2">
        <v>46054</v>
      </c>
      <c r="F639" s="2">
        <v>45398</v>
      </c>
      <c r="G639" t="s">
        <v>2048</v>
      </c>
      <c r="H639" t="s">
        <v>19</v>
      </c>
      <c r="I639" t="s">
        <v>2049</v>
      </c>
      <c r="J639" t="s">
        <v>65</v>
      </c>
    </row>
    <row r="640" spans="1:10" x14ac:dyDescent="0.3">
      <c r="A640">
        <v>1100</v>
      </c>
      <c r="B640" t="s">
        <v>2050</v>
      </c>
      <c r="C640">
        <v>60</v>
      </c>
      <c r="D640" t="s">
        <v>11</v>
      </c>
      <c r="E640" s="2">
        <v>45907</v>
      </c>
      <c r="F640" s="2">
        <v>45395</v>
      </c>
      <c r="G640" t="s">
        <v>2051</v>
      </c>
      <c r="H640" t="s">
        <v>19</v>
      </c>
      <c r="I640" t="s">
        <v>2052</v>
      </c>
      <c r="J640" t="s">
        <v>39</v>
      </c>
    </row>
    <row r="641" spans="1:10" x14ac:dyDescent="0.3">
      <c r="A641">
        <v>1021</v>
      </c>
      <c r="B641" t="s">
        <v>2053</v>
      </c>
      <c r="C641">
        <v>37</v>
      </c>
      <c r="D641">
        <v>0</v>
      </c>
      <c r="E641" s="1">
        <v>45918</v>
      </c>
      <c r="F641" s="1">
        <v>45613</v>
      </c>
      <c r="G641" t="s">
        <v>2054</v>
      </c>
      <c r="H641" t="s">
        <v>13</v>
      </c>
      <c r="I641" t="s">
        <v>2055</v>
      </c>
      <c r="J641" t="s">
        <v>31</v>
      </c>
    </row>
    <row r="642" spans="1:10" x14ac:dyDescent="0.3">
      <c r="A642">
        <v>1078</v>
      </c>
      <c r="B642" t="s">
        <v>2056</v>
      </c>
      <c r="C642">
        <v>82</v>
      </c>
      <c r="D642">
        <v>1</v>
      </c>
      <c r="E642" s="1">
        <v>46046</v>
      </c>
      <c r="F642" s="2">
        <v>45568</v>
      </c>
      <c r="G642" t="s">
        <v>2057</v>
      </c>
      <c r="H642" t="s">
        <v>19</v>
      </c>
      <c r="I642" t="s">
        <v>2058</v>
      </c>
      <c r="J642">
        <v>0</v>
      </c>
    </row>
    <row r="643" spans="1:10" x14ac:dyDescent="0.3">
      <c r="A643">
        <v>1094</v>
      </c>
      <c r="B643" t="s">
        <v>2059</v>
      </c>
      <c r="C643">
        <v>60</v>
      </c>
      <c r="D643">
        <v>1</v>
      </c>
      <c r="E643" s="2">
        <v>45888</v>
      </c>
      <c r="F643" s="1">
        <v>45680</v>
      </c>
      <c r="G643" t="s">
        <v>2060</v>
      </c>
      <c r="H643" t="s">
        <v>25</v>
      </c>
      <c r="I643" t="s">
        <v>2061</v>
      </c>
      <c r="J643" t="s">
        <v>21</v>
      </c>
    </row>
    <row r="644" spans="1:10" x14ac:dyDescent="0.3">
      <c r="A644">
        <v>1022</v>
      </c>
      <c r="B644" t="s">
        <v>2062</v>
      </c>
      <c r="C644">
        <v>83</v>
      </c>
      <c r="D644" t="s">
        <v>76</v>
      </c>
      <c r="E644" s="1">
        <v>45915</v>
      </c>
      <c r="F644" t="s">
        <v>2063</v>
      </c>
      <c r="G644" t="s">
        <v>2064</v>
      </c>
      <c r="H644" t="s">
        <v>19</v>
      </c>
      <c r="I644" t="s">
        <v>2065</v>
      </c>
      <c r="J644" t="s">
        <v>31</v>
      </c>
    </row>
    <row r="645" spans="1:10" x14ac:dyDescent="0.3">
      <c r="A645">
        <v>1056</v>
      </c>
      <c r="B645" t="s">
        <v>2066</v>
      </c>
      <c r="C645">
        <v>82</v>
      </c>
      <c r="D645" t="s">
        <v>23</v>
      </c>
      <c r="E645" s="1">
        <v>46026</v>
      </c>
      <c r="F645" s="2">
        <v>45763</v>
      </c>
      <c r="G645" t="s">
        <v>2067</v>
      </c>
      <c r="H645" t="s">
        <v>25</v>
      </c>
      <c r="I645" t="s">
        <v>2068</v>
      </c>
      <c r="J645">
        <v>0</v>
      </c>
    </row>
    <row r="646" spans="1:10" x14ac:dyDescent="0.3">
      <c r="A646">
        <v>1066</v>
      </c>
      <c r="B646" t="s">
        <v>2069</v>
      </c>
      <c r="C646">
        <v>76</v>
      </c>
      <c r="D646" t="s">
        <v>56</v>
      </c>
      <c r="E646" s="2">
        <v>45961</v>
      </c>
      <c r="F646" s="2">
        <v>45470</v>
      </c>
      <c r="G646" t="s">
        <v>2070</v>
      </c>
      <c r="H646" t="s">
        <v>29</v>
      </c>
      <c r="I646" t="s">
        <v>2071</v>
      </c>
      <c r="J646">
        <v>1</v>
      </c>
    </row>
    <row r="647" spans="1:10" x14ac:dyDescent="0.3">
      <c r="A647">
        <v>1088</v>
      </c>
      <c r="B647" t="s">
        <v>2072</v>
      </c>
      <c r="C647">
        <v>79</v>
      </c>
      <c r="D647">
        <v>0</v>
      </c>
      <c r="E647" s="1">
        <v>45982</v>
      </c>
      <c r="F647" s="2">
        <v>45911</v>
      </c>
      <c r="G647" t="s">
        <v>2073</v>
      </c>
      <c r="H647" t="s">
        <v>19</v>
      </c>
      <c r="I647" t="s">
        <v>2074</v>
      </c>
      <c r="J647" t="s">
        <v>31</v>
      </c>
    </row>
    <row r="648" spans="1:10" x14ac:dyDescent="0.3">
      <c r="A648">
        <v>1001</v>
      </c>
      <c r="B648" t="s">
        <v>2075</v>
      </c>
      <c r="C648">
        <v>27</v>
      </c>
      <c r="D648" t="s">
        <v>11</v>
      </c>
      <c r="E648" t="s">
        <v>2076</v>
      </c>
      <c r="F648" t="s">
        <v>17</v>
      </c>
      <c r="G648" t="s">
        <v>2077</v>
      </c>
      <c r="H648" t="s">
        <v>25</v>
      </c>
      <c r="I648" t="s">
        <v>2078</v>
      </c>
      <c r="J648">
        <v>0</v>
      </c>
    </row>
    <row r="649" spans="1:10" x14ac:dyDescent="0.3">
      <c r="A649">
        <v>1076</v>
      </c>
      <c r="B649" t="s">
        <v>2079</v>
      </c>
      <c r="C649">
        <v>19</v>
      </c>
      <c r="D649">
        <v>0</v>
      </c>
      <c r="E649" s="1">
        <v>46075</v>
      </c>
      <c r="F649" s="1">
        <v>45820</v>
      </c>
      <c r="G649" t="s">
        <v>2080</v>
      </c>
      <c r="H649" t="s">
        <v>19</v>
      </c>
      <c r="I649" t="s">
        <v>2081</v>
      </c>
      <c r="J649" t="s">
        <v>21</v>
      </c>
    </row>
    <row r="650" spans="1:10" x14ac:dyDescent="0.3">
      <c r="A650">
        <v>1019</v>
      </c>
      <c r="B650" t="s">
        <v>2082</v>
      </c>
      <c r="C650">
        <v>41</v>
      </c>
      <c r="D650" t="s">
        <v>56</v>
      </c>
      <c r="E650" s="2">
        <v>45961</v>
      </c>
      <c r="F650" s="1">
        <v>45572</v>
      </c>
      <c r="G650" t="s">
        <v>2083</v>
      </c>
      <c r="H650" t="s">
        <v>25</v>
      </c>
      <c r="I650" t="s">
        <v>2084</v>
      </c>
      <c r="J650">
        <v>0</v>
      </c>
    </row>
    <row r="651" spans="1:10" x14ac:dyDescent="0.3">
      <c r="A651">
        <v>1005</v>
      </c>
      <c r="B651" t="s">
        <v>2085</v>
      </c>
      <c r="C651">
        <v>55</v>
      </c>
      <c r="D651" t="s">
        <v>16</v>
      </c>
      <c r="E651" s="2">
        <v>45876</v>
      </c>
      <c r="F651" s="1">
        <v>45447</v>
      </c>
      <c r="G651" t="s">
        <v>2086</v>
      </c>
      <c r="H651" t="s">
        <v>13</v>
      </c>
      <c r="I651" t="s">
        <v>2087</v>
      </c>
      <c r="J651">
        <v>0</v>
      </c>
    </row>
    <row r="652" spans="1:10" x14ac:dyDescent="0.3">
      <c r="A652">
        <v>1030</v>
      </c>
      <c r="B652" t="s">
        <v>2088</v>
      </c>
      <c r="C652">
        <v>59</v>
      </c>
      <c r="D652" t="s">
        <v>76</v>
      </c>
      <c r="E652" s="1">
        <v>45991</v>
      </c>
      <c r="F652" s="2">
        <v>45870</v>
      </c>
      <c r="G652" t="s">
        <v>2089</v>
      </c>
      <c r="H652" t="s">
        <v>19</v>
      </c>
      <c r="I652" t="s">
        <v>2090</v>
      </c>
      <c r="J652">
        <v>1</v>
      </c>
    </row>
    <row r="653" spans="1:10" x14ac:dyDescent="0.3">
      <c r="A653">
        <v>1088</v>
      </c>
      <c r="B653" t="s">
        <v>2091</v>
      </c>
      <c r="C653">
        <v>55</v>
      </c>
      <c r="D653" t="s">
        <v>16</v>
      </c>
      <c r="E653" t="s">
        <v>2092</v>
      </c>
      <c r="F653" s="2">
        <v>45544</v>
      </c>
      <c r="G653" t="s">
        <v>2093</v>
      </c>
      <c r="H653" t="s">
        <v>19</v>
      </c>
      <c r="I653" t="s">
        <v>2094</v>
      </c>
      <c r="J653">
        <v>0</v>
      </c>
    </row>
    <row r="654" spans="1:10" x14ac:dyDescent="0.3">
      <c r="A654">
        <v>1018</v>
      </c>
      <c r="B654" t="s">
        <v>2095</v>
      </c>
      <c r="C654">
        <v>68</v>
      </c>
      <c r="D654" t="s">
        <v>76</v>
      </c>
      <c r="E654" s="2">
        <v>45769</v>
      </c>
      <c r="F654" s="2">
        <v>45750</v>
      </c>
      <c r="G654" t="s">
        <v>2096</v>
      </c>
      <c r="H654" t="s">
        <v>25</v>
      </c>
      <c r="I654" t="s">
        <v>2097</v>
      </c>
      <c r="J654">
        <v>0</v>
      </c>
    </row>
    <row r="655" spans="1:10" x14ac:dyDescent="0.3">
      <c r="A655">
        <v>1092</v>
      </c>
      <c r="B655" t="s">
        <v>2098</v>
      </c>
      <c r="C655">
        <v>68</v>
      </c>
      <c r="D655" t="s">
        <v>11</v>
      </c>
      <c r="E655" t="s">
        <v>2099</v>
      </c>
      <c r="F655" s="1">
        <v>45589</v>
      </c>
      <c r="G655" t="s">
        <v>2100</v>
      </c>
      <c r="H655" t="s">
        <v>13</v>
      </c>
      <c r="I655" t="s">
        <v>2101</v>
      </c>
      <c r="J655" t="s">
        <v>65</v>
      </c>
    </row>
    <row r="656" spans="1:10" x14ac:dyDescent="0.3">
      <c r="A656">
        <v>1030</v>
      </c>
      <c r="B656" t="s">
        <v>2102</v>
      </c>
      <c r="C656">
        <v>39</v>
      </c>
      <c r="D656" t="s">
        <v>56</v>
      </c>
      <c r="E656" s="1">
        <v>45979</v>
      </c>
      <c r="F656" s="2">
        <v>45965</v>
      </c>
      <c r="G656" t="s">
        <v>2103</v>
      </c>
      <c r="H656" t="s">
        <v>25</v>
      </c>
      <c r="I656" t="s">
        <v>2104</v>
      </c>
      <c r="J656">
        <v>0</v>
      </c>
    </row>
    <row r="657" spans="1:10" x14ac:dyDescent="0.3">
      <c r="A657">
        <v>1089</v>
      </c>
      <c r="B657" t="s">
        <v>2105</v>
      </c>
      <c r="C657">
        <v>63</v>
      </c>
      <c r="D657" t="s">
        <v>23</v>
      </c>
      <c r="E657" s="2">
        <v>45970</v>
      </c>
      <c r="F657" s="2">
        <v>45634</v>
      </c>
      <c r="G657" t="s">
        <v>2106</v>
      </c>
      <c r="H657" t="s">
        <v>25</v>
      </c>
      <c r="I657" t="s">
        <v>2107</v>
      </c>
      <c r="J657">
        <v>1</v>
      </c>
    </row>
    <row r="658" spans="1:10" x14ac:dyDescent="0.3">
      <c r="A658">
        <v>1043</v>
      </c>
      <c r="B658" t="s">
        <v>2108</v>
      </c>
      <c r="C658">
        <v>82</v>
      </c>
      <c r="D658">
        <v>0</v>
      </c>
      <c r="E658" s="2">
        <v>45800</v>
      </c>
      <c r="F658" s="1">
        <v>45583</v>
      </c>
      <c r="G658" t="s">
        <v>2109</v>
      </c>
      <c r="H658" t="s">
        <v>13</v>
      </c>
      <c r="I658" t="s">
        <v>2110</v>
      </c>
      <c r="J658" t="s">
        <v>65</v>
      </c>
    </row>
    <row r="659" spans="1:10" x14ac:dyDescent="0.3">
      <c r="A659">
        <v>1021</v>
      </c>
      <c r="B659" t="s">
        <v>2111</v>
      </c>
      <c r="C659">
        <v>25</v>
      </c>
      <c r="D659" t="s">
        <v>11</v>
      </c>
      <c r="E659" s="2">
        <v>45931</v>
      </c>
      <c r="F659" s="1">
        <v>45300</v>
      </c>
      <c r="G659" t="s">
        <v>2112</v>
      </c>
      <c r="H659" t="s">
        <v>13</v>
      </c>
      <c r="I659" t="s">
        <v>2113</v>
      </c>
      <c r="J659" t="s">
        <v>21</v>
      </c>
    </row>
    <row r="660" spans="1:10" x14ac:dyDescent="0.3">
      <c r="A660">
        <v>1086</v>
      </c>
      <c r="B660" t="s">
        <v>2114</v>
      </c>
      <c r="C660">
        <v>80</v>
      </c>
      <c r="D660">
        <v>0</v>
      </c>
      <c r="E660" s="1">
        <v>45985</v>
      </c>
      <c r="F660" s="2">
        <v>45655</v>
      </c>
      <c r="G660" t="s">
        <v>2115</v>
      </c>
      <c r="H660" t="s">
        <v>13</v>
      </c>
      <c r="I660" t="s">
        <v>2116</v>
      </c>
      <c r="J660">
        <v>1</v>
      </c>
    </row>
    <row r="661" spans="1:10" x14ac:dyDescent="0.3">
      <c r="A661">
        <v>1016</v>
      </c>
      <c r="B661" t="s">
        <v>2117</v>
      </c>
      <c r="C661">
        <v>53</v>
      </c>
      <c r="D661" t="s">
        <v>11</v>
      </c>
      <c r="E661" s="1">
        <v>45806</v>
      </c>
      <c r="F661" s="2">
        <v>45710</v>
      </c>
      <c r="G661" t="s">
        <v>2118</v>
      </c>
      <c r="H661" t="s">
        <v>19</v>
      </c>
      <c r="I661" t="s">
        <v>2119</v>
      </c>
      <c r="J661" t="s">
        <v>39</v>
      </c>
    </row>
    <row r="662" spans="1:10" x14ac:dyDescent="0.3">
      <c r="A662">
        <v>1050</v>
      </c>
      <c r="B662" t="s">
        <v>2120</v>
      </c>
      <c r="C662">
        <v>83</v>
      </c>
      <c r="D662" t="s">
        <v>23</v>
      </c>
      <c r="E662" s="2">
        <v>45911</v>
      </c>
      <c r="F662" s="2">
        <v>45538</v>
      </c>
      <c r="G662" t="s">
        <v>2121</v>
      </c>
      <c r="H662" t="s">
        <v>25</v>
      </c>
      <c r="I662" t="s">
        <v>2122</v>
      </c>
      <c r="J662" t="s">
        <v>65</v>
      </c>
    </row>
    <row r="663" spans="1:10" x14ac:dyDescent="0.3">
      <c r="A663">
        <v>1079</v>
      </c>
      <c r="B663" t="s">
        <v>2123</v>
      </c>
      <c r="C663">
        <v>85</v>
      </c>
      <c r="D663" t="s">
        <v>41</v>
      </c>
      <c r="E663" s="2">
        <v>46101</v>
      </c>
      <c r="F663" s="2">
        <v>45938</v>
      </c>
      <c r="G663" t="s">
        <v>2124</v>
      </c>
      <c r="H663" t="s">
        <v>19</v>
      </c>
      <c r="I663" t="s">
        <v>2125</v>
      </c>
      <c r="J663" t="s">
        <v>65</v>
      </c>
    </row>
    <row r="664" spans="1:10" x14ac:dyDescent="0.3">
      <c r="A664">
        <v>1027</v>
      </c>
      <c r="B664" t="s">
        <v>2126</v>
      </c>
      <c r="C664">
        <v>26</v>
      </c>
      <c r="D664">
        <v>1</v>
      </c>
      <c r="E664" s="1">
        <v>46104</v>
      </c>
      <c r="F664" s="2">
        <v>45668</v>
      </c>
      <c r="G664" t="s">
        <v>2127</v>
      </c>
      <c r="H664" t="s">
        <v>19</v>
      </c>
      <c r="I664" t="s">
        <v>2128</v>
      </c>
      <c r="J664" t="s">
        <v>65</v>
      </c>
    </row>
    <row r="665" spans="1:10" x14ac:dyDescent="0.3">
      <c r="A665">
        <v>1070</v>
      </c>
      <c r="B665" t="s">
        <v>2129</v>
      </c>
      <c r="C665">
        <v>30</v>
      </c>
      <c r="D665" t="s">
        <v>16</v>
      </c>
      <c r="E665" s="2">
        <v>45992</v>
      </c>
      <c r="F665" s="2">
        <v>45489</v>
      </c>
      <c r="G665" t="s">
        <v>2130</v>
      </c>
      <c r="H665" t="s">
        <v>19</v>
      </c>
      <c r="I665" t="s">
        <v>2131</v>
      </c>
      <c r="J665" t="s">
        <v>31</v>
      </c>
    </row>
    <row r="666" spans="1:10" x14ac:dyDescent="0.3">
      <c r="A666">
        <v>1013</v>
      </c>
      <c r="B666" t="s">
        <v>2132</v>
      </c>
      <c r="C666">
        <v>21</v>
      </c>
      <c r="D666" t="s">
        <v>41</v>
      </c>
      <c r="E666" s="1">
        <v>46077</v>
      </c>
      <c r="F666" s="1">
        <v>45812</v>
      </c>
      <c r="G666" t="s">
        <v>2133</v>
      </c>
      <c r="H666" t="s">
        <v>25</v>
      </c>
      <c r="J666" t="s">
        <v>39</v>
      </c>
    </row>
    <row r="667" spans="1:10" x14ac:dyDescent="0.3">
      <c r="A667">
        <v>1027</v>
      </c>
      <c r="B667" t="s">
        <v>2134</v>
      </c>
      <c r="C667">
        <v>27</v>
      </c>
      <c r="D667" t="s">
        <v>11</v>
      </c>
      <c r="E667" s="1">
        <v>45842</v>
      </c>
      <c r="F667" s="2">
        <v>45733</v>
      </c>
      <c r="G667" t="s">
        <v>2135</v>
      </c>
      <c r="H667" t="s">
        <v>19</v>
      </c>
      <c r="I667" t="s">
        <v>2136</v>
      </c>
      <c r="J667">
        <v>1</v>
      </c>
    </row>
    <row r="668" spans="1:10" x14ac:dyDescent="0.3">
      <c r="A668">
        <v>1087</v>
      </c>
      <c r="B668" t="s">
        <v>2137</v>
      </c>
      <c r="C668">
        <v>28</v>
      </c>
      <c r="D668">
        <v>0</v>
      </c>
      <c r="E668" s="2">
        <v>46104</v>
      </c>
      <c r="F668" s="1">
        <v>45295</v>
      </c>
      <c r="G668" t="s">
        <v>2138</v>
      </c>
      <c r="H668" t="s">
        <v>13</v>
      </c>
      <c r="I668" t="s">
        <v>2139</v>
      </c>
      <c r="J668">
        <v>1</v>
      </c>
    </row>
    <row r="669" spans="1:10" x14ac:dyDescent="0.3">
      <c r="A669">
        <v>1081</v>
      </c>
      <c r="B669" t="s">
        <v>2140</v>
      </c>
      <c r="C669">
        <v>32</v>
      </c>
      <c r="D669" t="s">
        <v>16</v>
      </c>
      <c r="E669" s="2">
        <v>45844</v>
      </c>
      <c r="F669" s="2">
        <v>45757</v>
      </c>
      <c r="G669" t="s">
        <v>2141</v>
      </c>
      <c r="H669" t="s">
        <v>25</v>
      </c>
      <c r="I669" t="s">
        <v>2142</v>
      </c>
      <c r="J669" t="s">
        <v>21</v>
      </c>
    </row>
    <row r="670" spans="1:10" x14ac:dyDescent="0.3">
      <c r="A670">
        <v>1053</v>
      </c>
      <c r="B670" t="s">
        <v>2143</v>
      </c>
      <c r="C670">
        <v>87</v>
      </c>
      <c r="D670" t="s">
        <v>56</v>
      </c>
      <c r="E670" s="1">
        <v>46060</v>
      </c>
      <c r="F670" s="2">
        <v>45484</v>
      </c>
      <c r="G670" t="s">
        <v>2144</v>
      </c>
      <c r="H670" t="s">
        <v>19</v>
      </c>
      <c r="I670" t="s">
        <v>2145</v>
      </c>
      <c r="J670" t="s">
        <v>21</v>
      </c>
    </row>
    <row r="671" spans="1:10" x14ac:dyDescent="0.3">
      <c r="A671">
        <v>1051</v>
      </c>
      <c r="B671" t="s">
        <v>2146</v>
      </c>
      <c r="C671">
        <v>72</v>
      </c>
      <c r="D671" t="s">
        <v>41</v>
      </c>
      <c r="E671" s="2">
        <v>46086</v>
      </c>
      <c r="F671" t="s">
        <v>2147</v>
      </c>
      <c r="G671" t="s">
        <v>2148</v>
      </c>
      <c r="H671" t="s">
        <v>29</v>
      </c>
      <c r="I671" t="s">
        <v>2149</v>
      </c>
      <c r="J671" t="s">
        <v>39</v>
      </c>
    </row>
    <row r="672" spans="1:10" x14ac:dyDescent="0.3">
      <c r="A672">
        <v>1098</v>
      </c>
      <c r="B672" t="s">
        <v>2150</v>
      </c>
      <c r="C672">
        <v>59</v>
      </c>
      <c r="D672">
        <v>1</v>
      </c>
      <c r="E672" s="1">
        <v>45940</v>
      </c>
      <c r="F672" s="2">
        <v>45522</v>
      </c>
      <c r="G672" t="s">
        <v>2151</v>
      </c>
      <c r="H672" t="s">
        <v>29</v>
      </c>
      <c r="I672" t="s">
        <v>2152</v>
      </c>
      <c r="J672" t="s">
        <v>65</v>
      </c>
    </row>
    <row r="673" spans="1:10" x14ac:dyDescent="0.3">
      <c r="A673">
        <v>1009</v>
      </c>
      <c r="B673" t="s">
        <v>2153</v>
      </c>
      <c r="C673">
        <v>64</v>
      </c>
      <c r="D673" t="s">
        <v>23</v>
      </c>
      <c r="E673" s="2">
        <v>45869</v>
      </c>
      <c r="F673" s="2">
        <v>45527</v>
      </c>
      <c r="G673" t="s">
        <v>2154</v>
      </c>
      <c r="H673" t="s">
        <v>25</v>
      </c>
      <c r="I673" t="s">
        <v>2155</v>
      </c>
      <c r="J673" t="s">
        <v>21</v>
      </c>
    </row>
    <row r="674" spans="1:10" x14ac:dyDescent="0.3">
      <c r="A674">
        <v>1021</v>
      </c>
      <c r="B674" t="s">
        <v>2156</v>
      </c>
      <c r="C674">
        <v>28</v>
      </c>
      <c r="D674" t="s">
        <v>41</v>
      </c>
      <c r="E674" t="s">
        <v>2157</v>
      </c>
      <c r="F674" s="1">
        <v>45613</v>
      </c>
      <c r="G674" t="s">
        <v>2158</v>
      </c>
      <c r="H674" t="s">
        <v>13</v>
      </c>
      <c r="I674" t="s">
        <v>2159</v>
      </c>
      <c r="J674" t="s">
        <v>39</v>
      </c>
    </row>
    <row r="675" spans="1:10" x14ac:dyDescent="0.3">
      <c r="A675">
        <v>1046</v>
      </c>
      <c r="B675" t="s">
        <v>2160</v>
      </c>
      <c r="C675">
        <v>68</v>
      </c>
      <c r="D675" t="s">
        <v>56</v>
      </c>
      <c r="E675" s="1">
        <v>46097</v>
      </c>
      <c r="F675" s="2">
        <v>45418</v>
      </c>
      <c r="G675" t="s">
        <v>2161</v>
      </c>
      <c r="H675" t="s">
        <v>19</v>
      </c>
      <c r="I675" t="s">
        <v>2162</v>
      </c>
      <c r="J675" t="s">
        <v>21</v>
      </c>
    </row>
    <row r="676" spans="1:10" x14ac:dyDescent="0.3">
      <c r="A676">
        <v>1044</v>
      </c>
      <c r="B676" t="s">
        <v>2163</v>
      </c>
      <c r="C676">
        <v>67</v>
      </c>
      <c r="D676" t="s">
        <v>56</v>
      </c>
      <c r="E676" s="1">
        <v>45995</v>
      </c>
      <c r="F676" t="s">
        <v>2164</v>
      </c>
      <c r="G676" t="s">
        <v>2165</v>
      </c>
      <c r="H676" t="s">
        <v>25</v>
      </c>
      <c r="I676" t="s">
        <v>2166</v>
      </c>
      <c r="J676" t="s">
        <v>65</v>
      </c>
    </row>
    <row r="677" spans="1:10" x14ac:dyDescent="0.3">
      <c r="A677">
        <v>1058</v>
      </c>
      <c r="B677" t="s">
        <v>2167</v>
      </c>
      <c r="C677">
        <v>37</v>
      </c>
      <c r="D677">
        <v>1</v>
      </c>
      <c r="E677" s="2">
        <v>46057</v>
      </c>
      <c r="F677" s="2">
        <v>45971</v>
      </c>
      <c r="G677" t="s">
        <v>2168</v>
      </c>
      <c r="H677" t="s">
        <v>19</v>
      </c>
      <c r="I677" t="s">
        <v>2169</v>
      </c>
      <c r="J677" t="s">
        <v>21</v>
      </c>
    </row>
    <row r="678" spans="1:10" x14ac:dyDescent="0.3">
      <c r="A678">
        <v>1004</v>
      </c>
      <c r="B678" t="s">
        <v>2170</v>
      </c>
      <c r="C678">
        <v>53</v>
      </c>
      <c r="E678" s="2">
        <v>45878</v>
      </c>
      <c r="F678" s="1">
        <v>45450</v>
      </c>
      <c r="G678" t="s">
        <v>2171</v>
      </c>
      <c r="H678" t="s">
        <v>25</v>
      </c>
      <c r="I678" t="s">
        <v>2172</v>
      </c>
      <c r="J678" t="s">
        <v>39</v>
      </c>
    </row>
    <row r="679" spans="1:10" x14ac:dyDescent="0.3">
      <c r="A679">
        <v>1088</v>
      </c>
      <c r="B679" t="s">
        <v>2173</v>
      </c>
      <c r="C679">
        <v>21</v>
      </c>
      <c r="D679" t="s">
        <v>23</v>
      </c>
      <c r="E679" s="2">
        <v>45973</v>
      </c>
      <c r="F679" s="1">
        <v>45769</v>
      </c>
      <c r="G679" t="s">
        <v>2174</v>
      </c>
      <c r="H679" t="s">
        <v>25</v>
      </c>
      <c r="I679" t="s">
        <v>2175</v>
      </c>
      <c r="J679">
        <v>0</v>
      </c>
    </row>
    <row r="680" spans="1:10" x14ac:dyDescent="0.3">
      <c r="A680">
        <v>1035</v>
      </c>
      <c r="B680" t="s">
        <v>2176</v>
      </c>
      <c r="C680">
        <v>53</v>
      </c>
      <c r="D680" t="s">
        <v>23</v>
      </c>
      <c r="E680" s="2">
        <v>46048</v>
      </c>
      <c r="F680" t="s">
        <v>2177</v>
      </c>
      <c r="G680" t="s">
        <v>2178</v>
      </c>
      <c r="H680" t="s">
        <v>25</v>
      </c>
      <c r="I680" t="s">
        <v>2179</v>
      </c>
      <c r="J680">
        <v>1</v>
      </c>
    </row>
    <row r="681" spans="1:10" x14ac:dyDescent="0.3">
      <c r="A681">
        <v>1025</v>
      </c>
      <c r="B681" t="s">
        <v>2180</v>
      </c>
      <c r="C681">
        <v>69</v>
      </c>
      <c r="D681" t="s">
        <v>76</v>
      </c>
      <c r="E681" s="2">
        <v>45753</v>
      </c>
      <c r="F681" s="1">
        <v>45501</v>
      </c>
      <c r="G681" t="s">
        <v>2181</v>
      </c>
      <c r="H681" t="s">
        <v>19</v>
      </c>
      <c r="I681" t="s">
        <v>2182</v>
      </c>
      <c r="J681">
        <v>0</v>
      </c>
    </row>
    <row r="682" spans="1:10" x14ac:dyDescent="0.3">
      <c r="A682">
        <v>1068</v>
      </c>
      <c r="B682" t="s">
        <v>2183</v>
      </c>
      <c r="C682">
        <v>25</v>
      </c>
      <c r="D682" t="s">
        <v>16</v>
      </c>
      <c r="E682" s="1">
        <v>46064</v>
      </c>
      <c r="F682" s="2">
        <v>45828</v>
      </c>
      <c r="G682" t="s">
        <v>2184</v>
      </c>
      <c r="H682" t="s">
        <v>25</v>
      </c>
      <c r="I682" t="s">
        <v>2185</v>
      </c>
      <c r="J682">
        <v>0</v>
      </c>
    </row>
    <row r="683" spans="1:10" x14ac:dyDescent="0.3">
      <c r="A683">
        <v>1014</v>
      </c>
      <c r="B683" t="s">
        <v>2186</v>
      </c>
      <c r="C683">
        <v>61</v>
      </c>
      <c r="E683" t="s">
        <v>898</v>
      </c>
      <c r="F683" s="2">
        <v>45648</v>
      </c>
      <c r="G683" t="s">
        <v>2187</v>
      </c>
      <c r="H683" t="s">
        <v>13</v>
      </c>
      <c r="I683" t="s">
        <v>2188</v>
      </c>
      <c r="J683">
        <v>1</v>
      </c>
    </row>
    <row r="684" spans="1:10" x14ac:dyDescent="0.3">
      <c r="A684">
        <v>1059</v>
      </c>
      <c r="B684" t="s">
        <v>2189</v>
      </c>
      <c r="C684">
        <v>23</v>
      </c>
      <c r="D684" t="s">
        <v>76</v>
      </c>
      <c r="E684" s="2">
        <v>45910</v>
      </c>
      <c r="F684" t="s">
        <v>1002</v>
      </c>
      <c r="G684" t="s">
        <v>2190</v>
      </c>
      <c r="H684" t="s">
        <v>29</v>
      </c>
      <c r="I684" t="s">
        <v>2191</v>
      </c>
      <c r="J684" t="s">
        <v>21</v>
      </c>
    </row>
    <row r="685" spans="1:10" x14ac:dyDescent="0.3">
      <c r="A685">
        <v>1021</v>
      </c>
      <c r="B685" t="s">
        <v>2192</v>
      </c>
      <c r="C685">
        <v>61</v>
      </c>
      <c r="D685" t="s">
        <v>16</v>
      </c>
      <c r="E685" s="2">
        <v>46085</v>
      </c>
      <c r="F685" s="2">
        <v>45879</v>
      </c>
      <c r="G685" t="s">
        <v>2193</v>
      </c>
      <c r="H685" t="s">
        <v>25</v>
      </c>
      <c r="I685" t="s">
        <v>2194</v>
      </c>
      <c r="J685" t="s">
        <v>39</v>
      </c>
    </row>
    <row r="686" spans="1:10" x14ac:dyDescent="0.3">
      <c r="A686">
        <v>1029</v>
      </c>
      <c r="B686" t="s">
        <v>2195</v>
      </c>
      <c r="C686">
        <v>69</v>
      </c>
      <c r="D686" t="s">
        <v>56</v>
      </c>
      <c r="E686" s="2">
        <v>45804</v>
      </c>
      <c r="F686" s="1">
        <v>45767</v>
      </c>
      <c r="G686" t="s">
        <v>2196</v>
      </c>
      <c r="H686" t="s">
        <v>19</v>
      </c>
      <c r="I686" t="s">
        <v>2197</v>
      </c>
      <c r="J686" t="s">
        <v>65</v>
      </c>
    </row>
    <row r="687" spans="1:10" x14ac:dyDescent="0.3">
      <c r="A687">
        <v>1005</v>
      </c>
      <c r="B687" t="s">
        <v>2198</v>
      </c>
      <c r="C687">
        <v>23</v>
      </c>
      <c r="D687">
        <v>0</v>
      </c>
      <c r="E687" t="s">
        <v>1450</v>
      </c>
      <c r="F687" s="1">
        <v>45662</v>
      </c>
      <c r="G687" t="s">
        <v>2199</v>
      </c>
      <c r="H687" t="s">
        <v>19</v>
      </c>
      <c r="I687" t="s">
        <v>2200</v>
      </c>
      <c r="J687" t="s">
        <v>65</v>
      </c>
    </row>
    <row r="688" spans="1:10" x14ac:dyDescent="0.3">
      <c r="A688">
        <v>1094</v>
      </c>
      <c r="B688" t="s">
        <v>2201</v>
      </c>
      <c r="C688">
        <v>59</v>
      </c>
      <c r="D688">
        <v>0</v>
      </c>
      <c r="E688" s="2">
        <v>45816</v>
      </c>
      <c r="F688" s="1">
        <v>45652</v>
      </c>
      <c r="G688" t="s">
        <v>2202</v>
      </c>
      <c r="H688" t="s">
        <v>19</v>
      </c>
      <c r="I688" t="s">
        <v>2203</v>
      </c>
      <c r="J688" t="s">
        <v>21</v>
      </c>
    </row>
    <row r="689" spans="1:10" x14ac:dyDescent="0.3">
      <c r="A689">
        <v>1065</v>
      </c>
      <c r="B689" t="s">
        <v>2204</v>
      </c>
      <c r="C689">
        <v>80</v>
      </c>
      <c r="D689" t="s">
        <v>16</v>
      </c>
      <c r="E689" s="1">
        <v>45966</v>
      </c>
      <c r="F689" s="1">
        <v>45587</v>
      </c>
      <c r="G689" t="s">
        <v>2205</v>
      </c>
      <c r="H689" t="s">
        <v>13</v>
      </c>
      <c r="I689" t="s">
        <v>2206</v>
      </c>
      <c r="J689">
        <v>0</v>
      </c>
    </row>
    <row r="690" spans="1:10" x14ac:dyDescent="0.3">
      <c r="A690">
        <v>1058</v>
      </c>
      <c r="B690" t="s">
        <v>2207</v>
      </c>
      <c r="C690">
        <v>27</v>
      </c>
      <c r="D690" t="s">
        <v>76</v>
      </c>
      <c r="E690" s="2">
        <v>45863</v>
      </c>
      <c r="F690" t="s">
        <v>2208</v>
      </c>
      <c r="G690" t="s">
        <v>2209</v>
      </c>
      <c r="H690" t="s">
        <v>19</v>
      </c>
      <c r="I690" t="s">
        <v>2210</v>
      </c>
      <c r="J690" t="s">
        <v>31</v>
      </c>
    </row>
    <row r="691" spans="1:10" x14ac:dyDescent="0.3">
      <c r="A691">
        <v>1076</v>
      </c>
      <c r="B691" t="s">
        <v>2211</v>
      </c>
      <c r="C691">
        <v>39</v>
      </c>
      <c r="D691" t="s">
        <v>11</v>
      </c>
      <c r="E691" s="2">
        <v>45807</v>
      </c>
      <c r="F691" s="2">
        <v>45783</v>
      </c>
      <c r="G691" t="s">
        <v>2212</v>
      </c>
      <c r="H691" t="s">
        <v>29</v>
      </c>
      <c r="I691" t="s">
        <v>2213</v>
      </c>
      <c r="J691" t="s">
        <v>39</v>
      </c>
    </row>
    <row r="692" spans="1:10" x14ac:dyDescent="0.3">
      <c r="A692">
        <v>1073</v>
      </c>
      <c r="B692" t="s">
        <v>2214</v>
      </c>
      <c r="C692">
        <v>52</v>
      </c>
      <c r="D692" t="s">
        <v>76</v>
      </c>
      <c r="E692" s="2">
        <v>45925</v>
      </c>
      <c r="F692" s="1">
        <v>45668</v>
      </c>
      <c r="G692" t="s">
        <v>2215</v>
      </c>
      <c r="H692" t="s">
        <v>13</v>
      </c>
      <c r="I692" t="s">
        <v>2216</v>
      </c>
      <c r="J692">
        <v>0</v>
      </c>
    </row>
    <row r="693" spans="1:10" x14ac:dyDescent="0.3">
      <c r="A693">
        <v>1054</v>
      </c>
      <c r="B693" t="s">
        <v>2217</v>
      </c>
      <c r="C693">
        <v>66</v>
      </c>
      <c r="D693" t="s">
        <v>76</v>
      </c>
      <c r="E693" s="1">
        <v>45755</v>
      </c>
      <c r="F693" s="1">
        <v>45659</v>
      </c>
      <c r="G693" t="s">
        <v>2218</v>
      </c>
      <c r="H693" t="s">
        <v>19</v>
      </c>
      <c r="I693" t="s">
        <v>2219</v>
      </c>
      <c r="J693">
        <v>1</v>
      </c>
    </row>
    <row r="694" spans="1:10" x14ac:dyDescent="0.3">
      <c r="A694">
        <v>1020</v>
      </c>
      <c r="B694" t="s">
        <v>2220</v>
      </c>
      <c r="C694">
        <v>52</v>
      </c>
      <c r="D694" t="s">
        <v>56</v>
      </c>
      <c r="E694" t="s">
        <v>2221</v>
      </c>
      <c r="F694" s="2">
        <v>45730</v>
      </c>
      <c r="G694" t="s">
        <v>2222</v>
      </c>
      <c r="H694" t="s">
        <v>29</v>
      </c>
      <c r="I694" t="s">
        <v>2223</v>
      </c>
      <c r="J694">
        <v>0</v>
      </c>
    </row>
    <row r="695" spans="1:10" x14ac:dyDescent="0.3">
      <c r="A695">
        <v>1087</v>
      </c>
      <c r="B695" t="s">
        <v>2224</v>
      </c>
      <c r="C695">
        <v>78</v>
      </c>
      <c r="D695" t="s">
        <v>76</v>
      </c>
      <c r="E695" s="2">
        <v>46044</v>
      </c>
      <c r="F695" s="1">
        <v>45844</v>
      </c>
      <c r="G695" t="s">
        <v>2225</v>
      </c>
      <c r="H695" t="s">
        <v>29</v>
      </c>
      <c r="I695" t="s">
        <v>2226</v>
      </c>
      <c r="J695" t="s">
        <v>31</v>
      </c>
    </row>
    <row r="696" spans="1:10" x14ac:dyDescent="0.3">
      <c r="A696">
        <v>1012</v>
      </c>
      <c r="B696" t="s">
        <v>2227</v>
      </c>
      <c r="C696">
        <v>45</v>
      </c>
      <c r="D696">
        <v>0</v>
      </c>
      <c r="E696" s="2">
        <v>45863</v>
      </c>
      <c r="F696" s="2">
        <v>45535</v>
      </c>
      <c r="G696" t="s">
        <v>2228</v>
      </c>
      <c r="H696" t="s">
        <v>19</v>
      </c>
      <c r="I696" t="s">
        <v>2229</v>
      </c>
      <c r="J696" t="s">
        <v>31</v>
      </c>
    </row>
    <row r="697" spans="1:10" x14ac:dyDescent="0.3">
      <c r="A697">
        <v>1085</v>
      </c>
      <c r="B697" t="s">
        <v>2230</v>
      </c>
      <c r="C697">
        <v>30</v>
      </c>
      <c r="D697" t="s">
        <v>76</v>
      </c>
      <c r="E697" s="2">
        <v>46014</v>
      </c>
      <c r="F697" s="1">
        <v>45455</v>
      </c>
      <c r="G697" t="s">
        <v>2231</v>
      </c>
      <c r="H697" t="s">
        <v>25</v>
      </c>
      <c r="I697" t="s">
        <v>2232</v>
      </c>
      <c r="J697">
        <v>1</v>
      </c>
    </row>
    <row r="698" spans="1:10" x14ac:dyDescent="0.3">
      <c r="A698">
        <v>1012</v>
      </c>
      <c r="B698" t="s">
        <v>2233</v>
      </c>
      <c r="C698">
        <v>30</v>
      </c>
      <c r="D698" t="s">
        <v>16</v>
      </c>
      <c r="E698" s="1">
        <v>45994</v>
      </c>
      <c r="F698" s="2">
        <v>45430</v>
      </c>
      <c r="G698" t="s">
        <v>2234</v>
      </c>
      <c r="H698" t="s">
        <v>25</v>
      </c>
      <c r="I698" t="s">
        <v>2235</v>
      </c>
      <c r="J698">
        <v>1</v>
      </c>
    </row>
    <row r="699" spans="1:10" x14ac:dyDescent="0.3">
      <c r="A699">
        <v>1063</v>
      </c>
      <c r="B699" t="s">
        <v>2236</v>
      </c>
      <c r="C699">
        <v>46</v>
      </c>
      <c r="D699" t="s">
        <v>23</v>
      </c>
      <c r="E699" s="2">
        <v>45948</v>
      </c>
      <c r="F699" s="2">
        <v>45568</v>
      </c>
      <c r="G699" t="s">
        <v>2237</v>
      </c>
      <c r="H699" t="s">
        <v>19</v>
      </c>
      <c r="I699" t="s">
        <v>2238</v>
      </c>
      <c r="J699" t="s">
        <v>65</v>
      </c>
    </row>
    <row r="700" spans="1:10" x14ac:dyDescent="0.3">
      <c r="A700">
        <v>1046</v>
      </c>
      <c r="B700" t="s">
        <v>1239</v>
      </c>
      <c r="C700">
        <v>28</v>
      </c>
      <c r="D700">
        <v>1</v>
      </c>
      <c r="E700" s="2">
        <v>45767</v>
      </c>
      <c r="F700" s="1">
        <v>45505</v>
      </c>
      <c r="G700" t="s">
        <v>2239</v>
      </c>
      <c r="H700" t="s">
        <v>19</v>
      </c>
      <c r="I700" t="s">
        <v>2240</v>
      </c>
      <c r="J700" t="s">
        <v>21</v>
      </c>
    </row>
    <row r="701" spans="1:10" x14ac:dyDescent="0.3">
      <c r="A701">
        <v>1031</v>
      </c>
      <c r="B701" t="s">
        <v>2241</v>
      </c>
      <c r="C701">
        <v>57</v>
      </c>
      <c r="D701">
        <v>0</v>
      </c>
      <c r="E701" s="1">
        <v>45808</v>
      </c>
      <c r="F701" s="1">
        <v>45702</v>
      </c>
      <c r="G701" t="s">
        <v>2242</v>
      </c>
      <c r="H701" t="s">
        <v>19</v>
      </c>
      <c r="I701" t="s">
        <v>2243</v>
      </c>
      <c r="J701" t="s">
        <v>31</v>
      </c>
    </row>
    <row r="702" spans="1:10" x14ac:dyDescent="0.3">
      <c r="A702">
        <v>1098</v>
      </c>
      <c r="B702" t="s">
        <v>2244</v>
      </c>
      <c r="C702">
        <v>27</v>
      </c>
      <c r="E702" s="1">
        <v>46297</v>
      </c>
      <c r="F702" t="s">
        <v>230</v>
      </c>
      <c r="G702" t="s">
        <v>2245</v>
      </c>
      <c r="H702" t="s">
        <v>29</v>
      </c>
      <c r="I702" t="s">
        <v>2246</v>
      </c>
      <c r="J702" t="s">
        <v>65</v>
      </c>
    </row>
    <row r="703" spans="1:10" x14ac:dyDescent="0.3">
      <c r="A703">
        <v>1021</v>
      </c>
      <c r="B703" t="s">
        <v>2247</v>
      </c>
      <c r="C703">
        <v>63</v>
      </c>
      <c r="D703" t="s">
        <v>56</v>
      </c>
      <c r="E703" s="2">
        <v>45843</v>
      </c>
      <c r="F703" s="1">
        <v>45829</v>
      </c>
      <c r="G703" t="s">
        <v>2248</v>
      </c>
      <c r="H703" t="s">
        <v>25</v>
      </c>
      <c r="I703" t="s">
        <v>2249</v>
      </c>
      <c r="J703">
        <v>1</v>
      </c>
    </row>
    <row r="704" spans="1:10" x14ac:dyDescent="0.3">
      <c r="A704">
        <v>1085</v>
      </c>
      <c r="B704" t="s">
        <v>2250</v>
      </c>
      <c r="C704">
        <v>25</v>
      </c>
      <c r="D704" t="s">
        <v>16</v>
      </c>
      <c r="E704" s="2">
        <v>45943</v>
      </c>
      <c r="F704" s="2">
        <v>45729</v>
      </c>
      <c r="G704" t="s">
        <v>2251</v>
      </c>
      <c r="H704" t="s">
        <v>29</v>
      </c>
      <c r="I704" t="s">
        <v>2252</v>
      </c>
      <c r="J704" t="s">
        <v>39</v>
      </c>
    </row>
    <row r="705" spans="1:10" x14ac:dyDescent="0.3">
      <c r="A705">
        <v>1015</v>
      </c>
      <c r="B705" t="s">
        <v>2253</v>
      </c>
      <c r="C705">
        <v>84</v>
      </c>
      <c r="D705">
        <v>0</v>
      </c>
      <c r="E705" s="2">
        <v>46106</v>
      </c>
      <c r="F705" t="s">
        <v>37</v>
      </c>
      <c r="G705" t="s">
        <v>2254</v>
      </c>
      <c r="H705" t="s">
        <v>13</v>
      </c>
      <c r="I705" t="s">
        <v>2255</v>
      </c>
      <c r="J705">
        <v>1</v>
      </c>
    </row>
    <row r="706" spans="1:10" x14ac:dyDescent="0.3">
      <c r="A706">
        <v>1015</v>
      </c>
      <c r="B706" t="s">
        <v>2256</v>
      </c>
      <c r="C706">
        <v>86</v>
      </c>
      <c r="E706" s="2">
        <v>45922</v>
      </c>
      <c r="F706" s="2">
        <v>45488</v>
      </c>
      <c r="G706" t="s">
        <v>2257</v>
      </c>
      <c r="H706" t="s">
        <v>19</v>
      </c>
      <c r="I706" t="s">
        <v>2258</v>
      </c>
      <c r="J706" t="s">
        <v>39</v>
      </c>
    </row>
    <row r="707" spans="1:10" x14ac:dyDescent="0.3">
      <c r="A707">
        <v>1008</v>
      </c>
      <c r="B707" t="s">
        <v>2259</v>
      </c>
      <c r="C707">
        <v>40</v>
      </c>
      <c r="D707">
        <v>0</v>
      </c>
      <c r="E707" s="1">
        <v>45960</v>
      </c>
      <c r="F707" s="2">
        <v>45504</v>
      </c>
      <c r="G707" t="s">
        <v>2260</v>
      </c>
      <c r="H707" t="s">
        <v>19</v>
      </c>
      <c r="I707" t="s">
        <v>2261</v>
      </c>
      <c r="J707" t="s">
        <v>65</v>
      </c>
    </row>
    <row r="708" spans="1:10" x14ac:dyDescent="0.3">
      <c r="A708">
        <v>1080</v>
      </c>
      <c r="B708" t="s">
        <v>2262</v>
      </c>
      <c r="C708">
        <v>78</v>
      </c>
      <c r="D708" t="s">
        <v>56</v>
      </c>
      <c r="E708" s="1">
        <v>46055</v>
      </c>
      <c r="F708" s="2">
        <v>45975</v>
      </c>
      <c r="G708" t="s">
        <v>2263</v>
      </c>
      <c r="H708" t="s">
        <v>13</v>
      </c>
      <c r="I708" t="s">
        <v>2264</v>
      </c>
      <c r="J708" t="s">
        <v>31</v>
      </c>
    </row>
    <row r="709" spans="1:10" x14ac:dyDescent="0.3">
      <c r="A709">
        <v>1067</v>
      </c>
      <c r="B709" t="s">
        <v>2265</v>
      </c>
      <c r="C709">
        <v>28</v>
      </c>
      <c r="D709" t="s">
        <v>76</v>
      </c>
      <c r="E709" s="2">
        <v>46029</v>
      </c>
      <c r="F709" s="2">
        <v>45892</v>
      </c>
      <c r="G709" t="s">
        <v>2266</v>
      </c>
      <c r="H709" t="s">
        <v>13</v>
      </c>
      <c r="I709" t="s">
        <v>2267</v>
      </c>
      <c r="J709" t="s">
        <v>21</v>
      </c>
    </row>
    <row r="710" spans="1:10" x14ac:dyDescent="0.3">
      <c r="A710">
        <v>1043</v>
      </c>
      <c r="B710" t="s">
        <v>2268</v>
      </c>
      <c r="C710">
        <v>80</v>
      </c>
      <c r="D710" t="s">
        <v>16</v>
      </c>
      <c r="E710" s="2">
        <v>45928</v>
      </c>
      <c r="F710" s="2">
        <v>45534</v>
      </c>
      <c r="G710" t="s">
        <v>2269</v>
      </c>
      <c r="H710" t="s">
        <v>25</v>
      </c>
      <c r="I710" t="s">
        <v>2270</v>
      </c>
      <c r="J710">
        <v>1</v>
      </c>
    </row>
    <row r="711" spans="1:10" x14ac:dyDescent="0.3">
      <c r="A711">
        <v>1058</v>
      </c>
      <c r="B711" t="s">
        <v>2271</v>
      </c>
      <c r="C711">
        <v>34</v>
      </c>
      <c r="D711" t="s">
        <v>76</v>
      </c>
      <c r="E711" s="2">
        <v>45770</v>
      </c>
      <c r="F711" s="1">
        <v>45634</v>
      </c>
      <c r="G711" t="s">
        <v>2272</v>
      </c>
      <c r="H711" t="s">
        <v>19</v>
      </c>
      <c r="J711">
        <v>1</v>
      </c>
    </row>
    <row r="712" spans="1:10" x14ac:dyDescent="0.3">
      <c r="A712">
        <v>1001</v>
      </c>
      <c r="B712" t="s">
        <v>2273</v>
      </c>
      <c r="C712">
        <v>35</v>
      </c>
      <c r="D712" t="s">
        <v>56</v>
      </c>
      <c r="E712" s="2">
        <v>45852</v>
      </c>
      <c r="F712" s="2">
        <v>45475</v>
      </c>
      <c r="G712" t="s">
        <v>2274</v>
      </c>
      <c r="H712" t="s">
        <v>19</v>
      </c>
      <c r="I712" t="s">
        <v>2275</v>
      </c>
      <c r="J712">
        <v>0</v>
      </c>
    </row>
    <row r="713" spans="1:10" x14ac:dyDescent="0.3">
      <c r="A713">
        <v>1012</v>
      </c>
      <c r="B713" t="s">
        <v>2276</v>
      </c>
      <c r="C713">
        <v>36</v>
      </c>
      <c r="D713">
        <v>1</v>
      </c>
      <c r="E713" s="1">
        <v>46106</v>
      </c>
      <c r="F713" s="1">
        <v>45356</v>
      </c>
      <c r="G713" t="s">
        <v>2277</v>
      </c>
      <c r="H713" t="s">
        <v>13</v>
      </c>
      <c r="I713" t="s">
        <v>2278</v>
      </c>
      <c r="J713" t="s">
        <v>65</v>
      </c>
    </row>
    <row r="714" spans="1:10" x14ac:dyDescent="0.3">
      <c r="A714">
        <v>1066</v>
      </c>
      <c r="B714" t="s">
        <v>2279</v>
      </c>
      <c r="C714">
        <v>65</v>
      </c>
      <c r="D714" t="s">
        <v>76</v>
      </c>
      <c r="E714" s="1">
        <v>45938</v>
      </c>
      <c r="F714" s="2">
        <v>45663</v>
      </c>
      <c r="G714" t="s">
        <v>2280</v>
      </c>
      <c r="H714" t="s">
        <v>19</v>
      </c>
      <c r="I714" t="s">
        <v>2281</v>
      </c>
      <c r="J714" t="s">
        <v>39</v>
      </c>
    </row>
    <row r="715" spans="1:10" x14ac:dyDescent="0.3">
      <c r="A715">
        <v>1015</v>
      </c>
      <c r="B715" t="s">
        <v>2282</v>
      </c>
      <c r="C715">
        <v>29</v>
      </c>
      <c r="D715" t="s">
        <v>56</v>
      </c>
      <c r="E715" s="1">
        <v>45819</v>
      </c>
      <c r="F715" s="2">
        <v>45475</v>
      </c>
      <c r="G715" t="s">
        <v>2283</v>
      </c>
      <c r="H715" t="s">
        <v>13</v>
      </c>
      <c r="I715" t="s">
        <v>2284</v>
      </c>
      <c r="J715" t="s">
        <v>21</v>
      </c>
    </row>
    <row r="716" spans="1:10" x14ac:dyDescent="0.3">
      <c r="A716">
        <v>1024</v>
      </c>
      <c r="B716" t="s">
        <v>2285</v>
      </c>
      <c r="C716">
        <v>22</v>
      </c>
      <c r="E716" s="1">
        <v>45937</v>
      </c>
      <c r="F716" t="s">
        <v>2286</v>
      </c>
      <c r="G716" t="s">
        <v>2287</v>
      </c>
      <c r="H716" t="s">
        <v>25</v>
      </c>
      <c r="I716" t="s">
        <v>2288</v>
      </c>
      <c r="J716">
        <v>0</v>
      </c>
    </row>
    <row r="717" spans="1:10" x14ac:dyDescent="0.3">
      <c r="A717">
        <v>1013</v>
      </c>
      <c r="B717" t="s">
        <v>2289</v>
      </c>
      <c r="C717">
        <v>69</v>
      </c>
      <c r="D717" t="s">
        <v>76</v>
      </c>
      <c r="E717" s="2">
        <v>46043</v>
      </c>
      <c r="F717" s="1">
        <v>45297</v>
      </c>
      <c r="G717" t="s">
        <v>2290</v>
      </c>
      <c r="H717" t="s">
        <v>29</v>
      </c>
      <c r="I717" t="s">
        <v>2291</v>
      </c>
      <c r="J717">
        <v>1</v>
      </c>
    </row>
    <row r="718" spans="1:10" x14ac:dyDescent="0.3">
      <c r="A718">
        <v>1024</v>
      </c>
      <c r="B718" t="s">
        <v>2292</v>
      </c>
      <c r="C718">
        <v>35</v>
      </c>
      <c r="D718" t="s">
        <v>23</v>
      </c>
      <c r="E718" s="2">
        <v>45886</v>
      </c>
      <c r="F718" s="1">
        <v>45816</v>
      </c>
      <c r="G718" t="s">
        <v>2293</v>
      </c>
      <c r="H718" t="s">
        <v>25</v>
      </c>
      <c r="I718" t="s">
        <v>2294</v>
      </c>
      <c r="J718">
        <v>1</v>
      </c>
    </row>
    <row r="719" spans="1:10" x14ac:dyDescent="0.3">
      <c r="A719">
        <v>1061</v>
      </c>
      <c r="B719" t="s">
        <v>2295</v>
      </c>
      <c r="C719">
        <v>59</v>
      </c>
      <c r="D719" t="s">
        <v>16</v>
      </c>
      <c r="E719" s="1">
        <v>46001</v>
      </c>
      <c r="F719" s="2">
        <v>45823</v>
      </c>
      <c r="G719" t="s">
        <v>2296</v>
      </c>
      <c r="H719" t="s">
        <v>19</v>
      </c>
      <c r="I719" t="s">
        <v>2297</v>
      </c>
      <c r="J719" t="s">
        <v>21</v>
      </c>
    </row>
    <row r="720" spans="1:10" x14ac:dyDescent="0.3">
      <c r="A720">
        <v>1095</v>
      </c>
      <c r="B720" t="s">
        <v>2298</v>
      </c>
      <c r="C720">
        <v>56</v>
      </c>
      <c r="D720">
        <v>1</v>
      </c>
      <c r="E720" s="1">
        <v>45812</v>
      </c>
      <c r="F720" s="2">
        <v>45441</v>
      </c>
      <c r="G720" t="s">
        <v>2299</v>
      </c>
      <c r="H720" t="s">
        <v>13</v>
      </c>
      <c r="I720" t="s">
        <v>2300</v>
      </c>
      <c r="J720" t="s">
        <v>21</v>
      </c>
    </row>
    <row r="721" spans="1:10" x14ac:dyDescent="0.3">
      <c r="A721">
        <v>1048</v>
      </c>
      <c r="B721" t="s">
        <v>2301</v>
      </c>
      <c r="C721">
        <v>67</v>
      </c>
      <c r="D721" t="s">
        <v>56</v>
      </c>
      <c r="E721" t="s">
        <v>2302</v>
      </c>
      <c r="F721" t="s">
        <v>1923</v>
      </c>
      <c r="G721" t="s">
        <v>2303</v>
      </c>
      <c r="H721" t="s">
        <v>25</v>
      </c>
      <c r="I721" t="s">
        <v>2304</v>
      </c>
      <c r="J721" t="s">
        <v>31</v>
      </c>
    </row>
    <row r="722" spans="1:10" x14ac:dyDescent="0.3">
      <c r="A722">
        <v>1033</v>
      </c>
      <c r="B722" t="s">
        <v>2305</v>
      </c>
      <c r="C722">
        <v>64</v>
      </c>
      <c r="D722" t="s">
        <v>16</v>
      </c>
      <c r="E722" s="2">
        <v>45916</v>
      </c>
      <c r="F722" s="2">
        <v>45680</v>
      </c>
      <c r="G722" t="s">
        <v>2306</v>
      </c>
      <c r="H722" t="s">
        <v>29</v>
      </c>
      <c r="I722" t="s">
        <v>2307</v>
      </c>
      <c r="J722">
        <v>1</v>
      </c>
    </row>
    <row r="723" spans="1:10" x14ac:dyDescent="0.3">
      <c r="A723">
        <v>1085</v>
      </c>
      <c r="B723" t="s">
        <v>2308</v>
      </c>
      <c r="C723">
        <v>22</v>
      </c>
      <c r="D723" t="s">
        <v>11</v>
      </c>
      <c r="E723" s="2">
        <v>45932</v>
      </c>
      <c r="F723" s="1">
        <v>45754</v>
      </c>
      <c r="G723" t="s">
        <v>2309</v>
      </c>
      <c r="H723" t="s">
        <v>29</v>
      </c>
      <c r="I723" t="s">
        <v>2310</v>
      </c>
      <c r="J723">
        <v>0</v>
      </c>
    </row>
    <row r="724" spans="1:10" x14ac:dyDescent="0.3">
      <c r="A724">
        <v>1003</v>
      </c>
      <c r="B724" t="s">
        <v>2311</v>
      </c>
      <c r="C724">
        <v>89</v>
      </c>
      <c r="D724" t="s">
        <v>41</v>
      </c>
      <c r="E724" s="2">
        <v>46013</v>
      </c>
      <c r="F724" s="2">
        <v>45724</v>
      </c>
      <c r="G724" t="s">
        <v>2312</v>
      </c>
      <c r="H724" t="s">
        <v>29</v>
      </c>
      <c r="I724" t="s">
        <v>2313</v>
      </c>
      <c r="J724" t="s">
        <v>39</v>
      </c>
    </row>
    <row r="725" spans="1:10" x14ac:dyDescent="0.3">
      <c r="A725">
        <v>1030</v>
      </c>
      <c r="B725" t="s">
        <v>2314</v>
      </c>
      <c r="C725">
        <v>72</v>
      </c>
      <c r="D725" t="s">
        <v>16</v>
      </c>
      <c r="E725" s="1">
        <v>45935</v>
      </c>
      <c r="F725" t="s">
        <v>2315</v>
      </c>
      <c r="G725" t="s">
        <v>1329</v>
      </c>
      <c r="H725" t="s">
        <v>25</v>
      </c>
      <c r="I725" t="s">
        <v>2316</v>
      </c>
      <c r="J725" t="s">
        <v>31</v>
      </c>
    </row>
    <row r="726" spans="1:10" x14ac:dyDescent="0.3">
      <c r="A726">
        <v>1083</v>
      </c>
      <c r="B726" t="s">
        <v>2317</v>
      </c>
      <c r="C726">
        <v>40</v>
      </c>
      <c r="D726" t="s">
        <v>11</v>
      </c>
      <c r="E726" s="1">
        <v>45788</v>
      </c>
      <c r="F726" s="2">
        <v>45519</v>
      </c>
      <c r="G726" t="s">
        <v>2318</v>
      </c>
      <c r="H726" t="s">
        <v>19</v>
      </c>
      <c r="I726" t="s">
        <v>2319</v>
      </c>
      <c r="J726">
        <v>0</v>
      </c>
    </row>
    <row r="727" spans="1:10" x14ac:dyDescent="0.3">
      <c r="A727">
        <v>1004</v>
      </c>
      <c r="B727" t="s">
        <v>2320</v>
      </c>
      <c r="C727">
        <v>36</v>
      </c>
      <c r="D727">
        <v>0</v>
      </c>
      <c r="E727" t="s">
        <v>2321</v>
      </c>
      <c r="F727" s="1">
        <v>45595</v>
      </c>
      <c r="G727" t="s">
        <v>2322</v>
      </c>
      <c r="H727" t="s">
        <v>13</v>
      </c>
      <c r="I727" t="s">
        <v>2323</v>
      </c>
      <c r="J727" t="s">
        <v>39</v>
      </c>
    </row>
    <row r="728" spans="1:10" x14ac:dyDescent="0.3">
      <c r="A728">
        <v>1051</v>
      </c>
      <c r="B728" t="s">
        <v>2324</v>
      </c>
      <c r="C728">
        <v>71</v>
      </c>
      <c r="D728" t="s">
        <v>41</v>
      </c>
      <c r="E728" t="s">
        <v>581</v>
      </c>
      <c r="F728" s="1">
        <v>45723</v>
      </c>
      <c r="G728" t="s">
        <v>2325</v>
      </c>
      <c r="H728" t="s">
        <v>13</v>
      </c>
      <c r="I728" t="s">
        <v>2326</v>
      </c>
      <c r="J728">
        <v>1</v>
      </c>
    </row>
    <row r="729" spans="1:10" x14ac:dyDescent="0.3">
      <c r="A729">
        <v>1059</v>
      </c>
      <c r="B729" t="s">
        <v>2327</v>
      </c>
      <c r="C729">
        <v>81</v>
      </c>
      <c r="D729" t="s">
        <v>41</v>
      </c>
      <c r="E729" s="1">
        <v>45744</v>
      </c>
      <c r="F729" t="s">
        <v>2328</v>
      </c>
      <c r="G729" t="s">
        <v>2329</v>
      </c>
      <c r="H729" t="s">
        <v>13</v>
      </c>
      <c r="I729" t="s">
        <v>2330</v>
      </c>
      <c r="J729" t="s">
        <v>31</v>
      </c>
    </row>
    <row r="730" spans="1:10" x14ac:dyDescent="0.3">
      <c r="A730">
        <v>1044</v>
      </c>
      <c r="B730" t="s">
        <v>2331</v>
      </c>
      <c r="C730">
        <v>21</v>
      </c>
      <c r="D730">
        <v>1</v>
      </c>
      <c r="E730" t="s">
        <v>802</v>
      </c>
      <c r="F730" s="1">
        <v>45559</v>
      </c>
      <c r="G730" t="s">
        <v>2332</v>
      </c>
      <c r="H730" t="s">
        <v>29</v>
      </c>
      <c r="I730" t="s">
        <v>2333</v>
      </c>
      <c r="J730" t="s">
        <v>21</v>
      </c>
    </row>
    <row r="731" spans="1:10" x14ac:dyDescent="0.3">
      <c r="A731">
        <v>1068</v>
      </c>
      <c r="B731" t="s">
        <v>2334</v>
      </c>
      <c r="C731">
        <v>87</v>
      </c>
      <c r="E731" s="1">
        <v>45899</v>
      </c>
      <c r="F731" s="2">
        <v>45641</v>
      </c>
      <c r="G731" t="s">
        <v>2335</v>
      </c>
      <c r="H731" t="s">
        <v>29</v>
      </c>
      <c r="I731" t="s">
        <v>2336</v>
      </c>
      <c r="J731" t="s">
        <v>65</v>
      </c>
    </row>
    <row r="732" spans="1:10" x14ac:dyDescent="0.3">
      <c r="A732">
        <v>1024</v>
      </c>
      <c r="B732" t="s">
        <v>2337</v>
      </c>
      <c r="C732">
        <v>60</v>
      </c>
      <c r="D732" t="s">
        <v>11</v>
      </c>
      <c r="E732" s="1">
        <v>45858</v>
      </c>
      <c r="F732" s="1">
        <v>45617</v>
      </c>
      <c r="G732" t="s">
        <v>2338</v>
      </c>
      <c r="H732" t="s">
        <v>13</v>
      </c>
      <c r="I732" t="s">
        <v>2339</v>
      </c>
      <c r="J732" t="s">
        <v>31</v>
      </c>
    </row>
    <row r="733" spans="1:10" x14ac:dyDescent="0.3">
      <c r="A733">
        <v>1010</v>
      </c>
      <c r="B733" t="s">
        <v>2340</v>
      </c>
      <c r="C733">
        <v>72</v>
      </c>
      <c r="D733" t="s">
        <v>16</v>
      </c>
      <c r="E733" s="2">
        <v>46069</v>
      </c>
      <c r="F733" s="2">
        <v>45480</v>
      </c>
      <c r="G733" t="s">
        <v>2341</v>
      </c>
      <c r="H733" t="s">
        <v>29</v>
      </c>
      <c r="I733" t="s">
        <v>2342</v>
      </c>
      <c r="J733" t="s">
        <v>31</v>
      </c>
    </row>
    <row r="734" spans="1:10" x14ac:dyDescent="0.3">
      <c r="A734">
        <v>1099</v>
      </c>
      <c r="B734" t="s">
        <v>2343</v>
      </c>
      <c r="C734">
        <v>25</v>
      </c>
      <c r="D734">
        <v>1</v>
      </c>
      <c r="E734" s="1">
        <v>45768</v>
      </c>
      <c r="F734" s="2">
        <v>45555</v>
      </c>
      <c r="G734" t="s">
        <v>2344</v>
      </c>
      <c r="H734" t="s">
        <v>13</v>
      </c>
      <c r="I734" t="s">
        <v>2345</v>
      </c>
      <c r="J734" t="s">
        <v>31</v>
      </c>
    </row>
    <row r="735" spans="1:10" x14ac:dyDescent="0.3">
      <c r="A735">
        <v>1060</v>
      </c>
      <c r="B735" t="s">
        <v>2346</v>
      </c>
      <c r="C735">
        <v>39</v>
      </c>
      <c r="D735" t="s">
        <v>76</v>
      </c>
      <c r="E735" s="2">
        <v>46031</v>
      </c>
      <c r="F735" s="2">
        <v>45828</v>
      </c>
      <c r="G735" t="s">
        <v>2347</v>
      </c>
      <c r="H735" t="s">
        <v>13</v>
      </c>
      <c r="I735" t="s">
        <v>2348</v>
      </c>
      <c r="J735">
        <v>0</v>
      </c>
    </row>
    <row r="736" spans="1:10" x14ac:dyDescent="0.3">
      <c r="A736">
        <v>1044</v>
      </c>
      <c r="B736" t="s">
        <v>2349</v>
      </c>
      <c r="C736">
        <v>63</v>
      </c>
      <c r="D736" t="s">
        <v>11</v>
      </c>
      <c r="E736" s="2">
        <v>45919</v>
      </c>
      <c r="F736" s="2">
        <v>45695</v>
      </c>
      <c r="G736" t="s">
        <v>2350</v>
      </c>
      <c r="H736" t="s">
        <v>29</v>
      </c>
      <c r="I736" t="s">
        <v>2351</v>
      </c>
      <c r="J736" t="s">
        <v>65</v>
      </c>
    </row>
    <row r="737" spans="1:10" x14ac:dyDescent="0.3">
      <c r="A737">
        <v>1047</v>
      </c>
      <c r="B737" t="s">
        <v>2352</v>
      </c>
      <c r="C737">
        <v>33</v>
      </c>
      <c r="D737">
        <v>1</v>
      </c>
      <c r="E737" t="s">
        <v>341</v>
      </c>
      <c r="F737" s="1">
        <v>45328</v>
      </c>
      <c r="G737" t="s">
        <v>2353</v>
      </c>
      <c r="H737" t="s">
        <v>29</v>
      </c>
      <c r="I737" t="s">
        <v>2354</v>
      </c>
      <c r="J737">
        <v>1</v>
      </c>
    </row>
    <row r="738" spans="1:10" x14ac:dyDescent="0.3">
      <c r="A738">
        <v>1063</v>
      </c>
      <c r="B738" t="s">
        <v>2355</v>
      </c>
      <c r="C738">
        <v>88</v>
      </c>
      <c r="D738" t="s">
        <v>41</v>
      </c>
      <c r="E738" s="1">
        <v>45759</v>
      </c>
      <c r="F738" s="1">
        <v>45941</v>
      </c>
      <c r="G738" t="s">
        <v>2356</v>
      </c>
      <c r="H738" t="s">
        <v>19</v>
      </c>
      <c r="I738" t="s">
        <v>2357</v>
      </c>
      <c r="J738" t="s">
        <v>31</v>
      </c>
    </row>
    <row r="739" spans="1:10" x14ac:dyDescent="0.3">
      <c r="A739">
        <v>1036</v>
      </c>
      <c r="B739" t="s">
        <v>2358</v>
      </c>
      <c r="C739">
        <v>44</v>
      </c>
      <c r="D739">
        <v>1</v>
      </c>
      <c r="E739" s="2">
        <v>45943</v>
      </c>
      <c r="F739" s="1">
        <v>45459</v>
      </c>
      <c r="G739" t="s">
        <v>2359</v>
      </c>
      <c r="H739" t="s">
        <v>19</v>
      </c>
      <c r="I739" t="s">
        <v>2360</v>
      </c>
      <c r="J739">
        <v>1</v>
      </c>
    </row>
    <row r="740" spans="1:10" x14ac:dyDescent="0.3">
      <c r="A740">
        <v>1002</v>
      </c>
      <c r="B740" t="s">
        <v>2361</v>
      </c>
      <c r="C740">
        <v>28</v>
      </c>
      <c r="D740">
        <v>0</v>
      </c>
      <c r="E740" s="1">
        <v>45694</v>
      </c>
      <c r="F740" s="1">
        <v>45464</v>
      </c>
      <c r="G740" t="s">
        <v>2362</v>
      </c>
      <c r="H740" t="s">
        <v>25</v>
      </c>
      <c r="I740" t="s">
        <v>2363</v>
      </c>
      <c r="J740">
        <v>0</v>
      </c>
    </row>
    <row r="741" spans="1:10" x14ac:dyDescent="0.3">
      <c r="A741">
        <v>1075</v>
      </c>
      <c r="B741" t="s">
        <v>2364</v>
      </c>
      <c r="C741">
        <v>25</v>
      </c>
      <c r="D741" t="s">
        <v>11</v>
      </c>
      <c r="E741" s="1">
        <v>45725</v>
      </c>
      <c r="F741" s="2">
        <v>45592</v>
      </c>
      <c r="G741" t="s">
        <v>2365</v>
      </c>
      <c r="H741" t="s">
        <v>19</v>
      </c>
      <c r="I741" t="s">
        <v>2366</v>
      </c>
      <c r="J741" t="s">
        <v>21</v>
      </c>
    </row>
    <row r="742" spans="1:10" x14ac:dyDescent="0.3">
      <c r="A742">
        <v>1090</v>
      </c>
      <c r="B742" t="s">
        <v>2367</v>
      </c>
      <c r="C742">
        <v>85</v>
      </c>
      <c r="D742" t="s">
        <v>56</v>
      </c>
      <c r="E742" s="1">
        <v>46042</v>
      </c>
      <c r="F742" s="2">
        <v>45726</v>
      </c>
      <c r="G742" t="s">
        <v>2368</v>
      </c>
      <c r="H742" t="s">
        <v>25</v>
      </c>
      <c r="I742" t="s">
        <v>2369</v>
      </c>
      <c r="J742" t="s">
        <v>31</v>
      </c>
    </row>
    <row r="743" spans="1:10" x14ac:dyDescent="0.3">
      <c r="A743">
        <v>1000</v>
      </c>
      <c r="B743" t="s">
        <v>2370</v>
      </c>
      <c r="C743">
        <v>18</v>
      </c>
      <c r="D743" t="s">
        <v>56</v>
      </c>
      <c r="E743" t="s">
        <v>184</v>
      </c>
      <c r="F743" s="2">
        <v>45757</v>
      </c>
      <c r="G743" t="s">
        <v>2371</v>
      </c>
      <c r="H743" t="s">
        <v>19</v>
      </c>
      <c r="I743" t="s">
        <v>2372</v>
      </c>
      <c r="J743">
        <v>0</v>
      </c>
    </row>
    <row r="744" spans="1:10" x14ac:dyDescent="0.3">
      <c r="A744">
        <v>1073</v>
      </c>
      <c r="B744" t="s">
        <v>2373</v>
      </c>
      <c r="C744">
        <v>75</v>
      </c>
      <c r="E744" s="2">
        <v>46028</v>
      </c>
      <c r="F744" s="2">
        <v>45710</v>
      </c>
      <c r="G744" t="s">
        <v>2374</v>
      </c>
      <c r="H744" t="s">
        <v>29</v>
      </c>
      <c r="I744" t="s">
        <v>2375</v>
      </c>
      <c r="J744" t="s">
        <v>65</v>
      </c>
    </row>
    <row r="745" spans="1:10" x14ac:dyDescent="0.3">
      <c r="A745">
        <v>1075</v>
      </c>
      <c r="B745" t="s">
        <v>2376</v>
      </c>
      <c r="C745">
        <v>73</v>
      </c>
      <c r="D745">
        <v>1</v>
      </c>
      <c r="E745" s="2">
        <v>45752</v>
      </c>
      <c r="F745" s="2">
        <v>45646</v>
      </c>
      <c r="G745" t="s">
        <v>2377</v>
      </c>
      <c r="H745" t="s">
        <v>25</v>
      </c>
      <c r="I745" t="s">
        <v>2378</v>
      </c>
      <c r="J745">
        <v>0</v>
      </c>
    </row>
    <row r="746" spans="1:10" x14ac:dyDescent="0.3">
      <c r="A746">
        <v>1033</v>
      </c>
      <c r="B746" t="s">
        <v>2379</v>
      </c>
      <c r="C746">
        <v>58</v>
      </c>
      <c r="D746" t="s">
        <v>76</v>
      </c>
      <c r="E746" t="s">
        <v>212</v>
      </c>
      <c r="F746" s="1">
        <v>45544</v>
      </c>
      <c r="G746" t="s">
        <v>2380</v>
      </c>
      <c r="H746" t="s">
        <v>19</v>
      </c>
      <c r="I746" t="s">
        <v>2381</v>
      </c>
      <c r="J746">
        <v>1</v>
      </c>
    </row>
    <row r="747" spans="1:10" x14ac:dyDescent="0.3">
      <c r="A747">
        <v>1051</v>
      </c>
      <c r="B747" t="s">
        <v>1138</v>
      </c>
      <c r="C747">
        <v>52</v>
      </c>
      <c r="D747" t="s">
        <v>76</v>
      </c>
      <c r="E747" s="2">
        <v>45961</v>
      </c>
      <c r="F747" s="2">
        <v>45536</v>
      </c>
      <c r="G747" t="s">
        <v>2382</v>
      </c>
      <c r="H747" t="s">
        <v>25</v>
      </c>
      <c r="J747">
        <v>0</v>
      </c>
    </row>
    <row r="748" spans="1:10" x14ac:dyDescent="0.3">
      <c r="A748">
        <v>1021</v>
      </c>
      <c r="B748" t="s">
        <v>2383</v>
      </c>
      <c r="C748">
        <v>41</v>
      </c>
      <c r="D748" t="s">
        <v>23</v>
      </c>
      <c r="E748" s="2">
        <v>45911</v>
      </c>
      <c r="F748" s="2">
        <v>45626</v>
      </c>
      <c r="G748" t="s">
        <v>2384</v>
      </c>
      <c r="H748" t="s">
        <v>29</v>
      </c>
      <c r="I748" t="s">
        <v>2385</v>
      </c>
      <c r="J748" t="s">
        <v>31</v>
      </c>
    </row>
    <row r="749" spans="1:10" x14ac:dyDescent="0.3">
      <c r="A749">
        <v>1052</v>
      </c>
      <c r="B749" t="s">
        <v>2386</v>
      </c>
      <c r="C749">
        <v>80</v>
      </c>
      <c r="D749">
        <v>0</v>
      </c>
      <c r="E749" s="2">
        <v>45781</v>
      </c>
      <c r="F749" s="1">
        <v>45555</v>
      </c>
      <c r="G749" t="s">
        <v>2387</v>
      </c>
      <c r="H749" t="s">
        <v>13</v>
      </c>
      <c r="I749" t="s">
        <v>2388</v>
      </c>
      <c r="J749" t="s">
        <v>65</v>
      </c>
    </row>
    <row r="750" spans="1:10" x14ac:dyDescent="0.3">
      <c r="A750">
        <v>1028</v>
      </c>
      <c r="B750" t="s">
        <v>2389</v>
      </c>
      <c r="C750">
        <v>24</v>
      </c>
      <c r="D750" t="s">
        <v>41</v>
      </c>
      <c r="E750" s="1">
        <v>46085</v>
      </c>
      <c r="F750" s="1">
        <v>45749</v>
      </c>
      <c r="G750" t="s">
        <v>2390</v>
      </c>
      <c r="H750" t="s">
        <v>29</v>
      </c>
      <c r="I750" t="s">
        <v>2391</v>
      </c>
      <c r="J750" t="s">
        <v>21</v>
      </c>
    </row>
    <row r="751" spans="1:10" x14ac:dyDescent="0.3">
      <c r="A751">
        <v>1062</v>
      </c>
      <c r="B751" t="s">
        <v>2392</v>
      </c>
      <c r="C751">
        <v>23</v>
      </c>
      <c r="D751" t="s">
        <v>41</v>
      </c>
      <c r="E751" s="2">
        <v>46051</v>
      </c>
      <c r="F751" s="1">
        <v>45474</v>
      </c>
      <c r="G751" t="s">
        <v>2393</v>
      </c>
      <c r="H751" t="s">
        <v>19</v>
      </c>
      <c r="I751" t="s">
        <v>2394</v>
      </c>
      <c r="J751" t="s">
        <v>31</v>
      </c>
    </row>
    <row r="752" spans="1:10" x14ac:dyDescent="0.3">
      <c r="A752">
        <v>1088</v>
      </c>
      <c r="B752" t="s">
        <v>2395</v>
      </c>
      <c r="C752">
        <v>80</v>
      </c>
      <c r="D752" t="s">
        <v>16</v>
      </c>
      <c r="E752" s="2">
        <v>45839</v>
      </c>
      <c r="F752" s="1">
        <v>45608</v>
      </c>
      <c r="G752" t="s">
        <v>2396</v>
      </c>
      <c r="H752" t="s">
        <v>29</v>
      </c>
      <c r="I752" t="s">
        <v>2397</v>
      </c>
      <c r="J752" t="s">
        <v>21</v>
      </c>
    </row>
    <row r="753" spans="1:10" x14ac:dyDescent="0.3">
      <c r="A753">
        <v>1028</v>
      </c>
      <c r="B753" t="s">
        <v>2398</v>
      </c>
      <c r="C753">
        <v>26</v>
      </c>
      <c r="D753">
        <v>0</v>
      </c>
      <c r="E753" s="2">
        <v>45915</v>
      </c>
      <c r="F753" s="1">
        <v>45790</v>
      </c>
      <c r="G753" t="s">
        <v>2399</v>
      </c>
      <c r="H753" t="s">
        <v>13</v>
      </c>
      <c r="I753" t="s">
        <v>2400</v>
      </c>
      <c r="J753" t="s">
        <v>21</v>
      </c>
    </row>
    <row r="754" spans="1:10" x14ac:dyDescent="0.3">
      <c r="A754">
        <v>1050</v>
      </c>
      <c r="B754" t="s">
        <v>2401</v>
      </c>
      <c r="C754">
        <v>65</v>
      </c>
      <c r="D754" t="s">
        <v>56</v>
      </c>
      <c r="E754" s="1">
        <v>46115</v>
      </c>
      <c r="F754" s="2">
        <v>45444</v>
      </c>
      <c r="G754" t="s">
        <v>2402</v>
      </c>
      <c r="H754" t="s">
        <v>29</v>
      </c>
      <c r="I754" t="s">
        <v>2403</v>
      </c>
      <c r="J754" t="s">
        <v>21</v>
      </c>
    </row>
    <row r="755" spans="1:10" x14ac:dyDescent="0.3">
      <c r="A755">
        <v>1004</v>
      </c>
      <c r="B755" t="s">
        <v>2404</v>
      </c>
      <c r="C755">
        <v>54</v>
      </c>
      <c r="D755" t="s">
        <v>23</v>
      </c>
      <c r="E755" s="2">
        <v>45903</v>
      </c>
      <c r="F755" s="2">
        <v>45708</v>
      </c>
      <c r="G755" t="s">
        <v>2405</v>
      </c>
      <c r="H755" t="s">
        <v>13</v>
      </c>
      <c r="I755" t="s">
        <v>2406</v>
      </c>
      <c r="J755" t="s">
        <v>31</v>
      </c>
    </row>
    <row r="756" spans="1:10" x14ac:dyDescent="0.3">
      <c r="A756">
        <v>1044</v>
      </c>
      <c r="B756" t="s">
        <v>2407</v>
      </c>
      <c r="C756">
        <v>58</v>
      </c>
      <c r="D756" t="s">
        <v>56</v>
      </c>
      <c r="E756" s="1">
        <v>45936</v>
      </c>
      <c r="F756" s="2">
        <v>45506</v>
      </c>
      <c r="G756" t="s">
        <v>2408</v>
      </c>
      <c r="H756" t="s">
        <v>19</v>
      </c>
      <c r="J756" t="s">
        <v>31</v>
      </c>
    </row>
    <row r="757" spans="1:10" x14ac:dyDescent="0.3">
      <c r="A757">
        <v>1030</v>
      </c>
      <c r="B757" t="s">
        <v>2409</v>
      </c>
      <c r="C757">
        <v>42</v>
      </c>
      <c r="D757" t="s">
        <v>76</v>
      </c>
      <c r="E757" t="s">
        <v>439</v>
      </c>
      <c r="F757" s="2">
        <v>45623</v>
      </c>
      <c r="G757" t="s">
        <v>2410</v>
      </c>
      <c r="H757" t="s">
        <v>25</v>
      </c>
      <c r="I757" t="s">
        <v>2411</v>
      </c>
      <c r="J757" t="s">
        <v>21</v>
      </c>
    </row>
    <row r="758" spans="1:10" x14ac:dyDescent="0.3">
      <c r="A758">
        <v>1073</v>
      </c>
      <c r="B758" t="s">
        <v>2412</v>
      </c>
      <c r="C758">
        <v>84</v>
      </c>
      <c r="D758" t="s">
        <v>56</v>
      </c>
      <c r="E758" t="s">
        <v>464</v>
      </c>
      <c r="F758" s="1">
        <v>45467</v>
      </c>
      <c r="G758" t="s">
        <v>2413</v>
      </c>
      <c r="H758" t="s">
        <v>25</v>
      </c>
      <c r="I758" t="s">
        <v>2414</v>
      </c>
      <c r="J758" t="s">
        <v>31</v>
      </c>
    </row>
    <row r="759" spans="1:10" x14ac:dyDescent="0.3">
      <c r="A759">
        <v>1018</v>
      </c>
      <c r="B759" t="s">
        <v>2415</v>
      </c>
      <c r="C759">
        <v>55</v>
      </c>
      <c r="D759">
        <v>1</v>
      </c>
      <c r="E759" t="s">
        <v>1194</v>
      </c>
      <c r="F759" s="2">
        <v>45711</v>
      </c>
      <c r="G759" t="s">
        <v>2416</v>
      </c>
      <c r="H759" t="s">
        <v>25</v>
      </c>
      <c r="I759" t="s">
        <v>2417</v>
      </c>
      <c r="J759">
        <v>0</v>
      </c>
    </row>
    <row r="760" spans="1:10" x14ac:dyDescent="0.3">
      <c r="A760">
        <v>1062</v>
      </c>
      <c r="B760" t="s">
        <v>2418</v>
      </c>
      <c r="C760">
        <v>84</v>
      </c>
      <c r="D760" t="s">
        <v>11</v>
      </c>
      <c r="E760" t="s">
        <v>1016</v>
      </c>
      <c r="F760" s="2">
        <v>45445</v>
      </c>
      <c r="G760" t="s">
        <v>2419</v>
      </c>
      <c r="H760" t="s">
        <v>13</v>
      </c>
      <c r="I760" t="s">
        <v>2420</v>
      </c>
      <c r="J760" t="s">
        <v>31</v>
      </c>
    </row>
    <row r="761" spans="1:10" x14ac:dyDescent="0.3">
      <c r="A761">
        <v>1014</v>
      </c>
      <c r="B761" t="s">
        <v>2421</v>
      </c>
      <c r="C761">
        <v>67</v>
      </c>
      <c r="D761" t="s">
        <v>41</v>
      </c>
      <c r="E761" s="2">
        <v>46107</v>
      </c>
      <c r="F761" s="1">
        <v>46206</v>
      </c>
      <c r="G761" t="s">
        <v>2422</v>
      </c>
      <c r="H761" t="s">
        <v>29</v>
      </c>
      <c r="I761" t="s">
        <v>2423</v>
      </c>
      <c r="J761" t="s">
        <v>65</v>
      </c>
    </row>
    <row r="762" spans="1:10" x14ac:dyDescent="0.3">
      <c r="A762">
        <v>1030</v>
      </c>
      <c r="B762" t="s">
        <v>2424</v>
      </c>
      <c r="C762">
        <v>40</v>
      </c>
      <c r="D762" t="s">
        <v>76</v>
      </c>
      <c r="E762" s="2">
        <v>45994</v>
      </c>
      <c r="F762" s="1">
        <v>45878</v>
      </c>
      <c r="G762" t="s">
        <v>2425</v>
      </c>
      <c r="H762" t="s">
        <v>19</v>
      </c>
      <c r="I762" t="s">
        <v>2426</v>
      </c>
      <c r="J762" t="s">
        <v>21</v>
      </c>
    </row>
    <row r="763" spans="1:10" x14ac:dyDescent="0.3">
      <c r="A763">
        <v>1081</v>
      </c>
      <c r="B763" t="s">
        <v>2427</v>
      </c>
      <c r="C763">
        <v>72</v>
      </c>
      <c r="D763" t="s">
        <v>41</v>
      </c>
      <c r="E763" s="1">
        <v>45751</v>
      </c>
      <c r="F763" t="s">
        <v>2428</v>
      </c>
      <c r="G763" t="s">
        <v>2429</v>
      </c>
      <c r="H763" t="s">
        <v>29</v>
      </c>
      <c r="I763" t="s">
        <v>2430</v>
      </c>
      <c r="J763" t="s">
        <v>31</v>
      </c>
    </row>
    <row r="764" spans="1:10" x14ac:dyDescent="0.3">
      <c r="A764">
        <v>1065</v>
      </c>
      <c r="B764" t="s">
        <v>2431</v>
      </c>
      <c r="C764">
        <v>32</v>
      </c>
      <c r="D764" t="s">
        <v>76</v>
      </c>
      <c r="E764" s="2">
        <v>45790</v>
      </c>
      <c r="F764" s="2">
        <v>45525</v>
      </c>
      <c r="G764" t="s">
        <v>2432</v>
      </c>
      <c r="H764" t="s">
        <v>13</v>
      </c>
      <c r="I764" t="s">
        <v>2433</v>
      </c>
      <c r="J764">
        <v>1</v>
      </c>
    </row>
    <row r="765" spans="1:10" x14ac:dyDescent="0.3">
      <c r="A765">
        <v>1081</v>
      </c>
      <c r="B765" t="s">
        <v>2434</v>
      </c>
      <c r="C765">
        <v>65</v>
      </c>
      <c r="D765" t="s">
        <v>16</v>
      </c>
      <c r="E765" s="2">
        <v>45937</v>
      </c>
      <c r="F765" s="2">
        <v>45635</v>
      </c>
      <c r="G765" t="s">
        <v>2435</v>
      </c>
      <c r="H765" t="s">
        <v>19</v>
      </c>
      <c r="J765" t="s">
        <v>31</v>
      </c>
    </row>
    <row r="766" spans="1:10" x14ac:dyDescent="0.3">
      <c r="A766">
        <v>1017</v>
      </c>
      <c r="B766" t="s">
        <v>2436</v>
      </c>
      <c r="C766">
        <v>82</v>
      </c>
      <c r="D766" t="s">
        <v>41</v>
      </c>
      <c r="E766" s="2">
        <v>46037</v>
      </c>
      <c r="F766" s="2">
        <v>45862</v>
      </c>
      <c r="G766" t="s">
        <v>2437</v>
      </c>
      <c r="H766" t="s">
        <v>29</v>
      </c>
      <c r="I766" t="s">
        <v>2438</v>
      </c>
      <c r="J766">
        <v>0</v>
      </c>
    </row>
    <row r="767" spans="1:10" x14ac:dyDescent="0.3">
      <c r="A767">
        <v>1001</v>
      </c>
      <c r="B767" t="s">
        <v>2439</v>
      </c>
      <c r="C767">
        <v>61</v>
      </c>
      <c r="D767" t="s">
        <v>76</v>
      </c>
      <c r="E767" s="1">
        <v>45954</v>
      </c>
      <c r="F767" s="2">
        <v>45890</v>
      </c>
      <c r="G767" t="s">
        <v>2440</v>
      </c>
      <c r="H767" t="s">
        <v>19</v>
      </c>
      <c r="I767" t="s">
        <v>2441</v>
      </c>
      <c r="J767" t="s">
        <v>39</v>
      </c>
    </row>
    <row r="768" spans="1:10" x14ac:dyDescent="0.3">
      <c r="A768">
        <v>1042</v>
      </c>
      <c r="B768" t="s">
        <v>2442</v>
      </c>
      <c r="C768">
        <v>75</v>
      </c>
      <c r="D768" t="s">
        <v>56</v>
      </c>
      <c r="E768" s="2">
        <v>46008</v>
      </c>
      <c r="F768" s="2">
        <v>45557</v>
      </c>
      <c r="G768" t="s">
        <v>2443</v>
      </c>
      <c r="H768" t="s">
        <v>25</v>
      </c>
      <c r="I768" t="s">
        <v>2444</v>
      </c>
      <c r="J768">
        <v>0</v>
      </c>
    </row>
    <row r="769" spans="1:10" x14ac:dyDescent="0.3">
      <c r="A769">
        <v>1015</v>
      </c>
      <c r="B769" t="s">
        <v>2445</v>
      </c>
      <c r="C769">
        <v>35</v>
      </c>
      <c r="D769" t="s">
        <v>41</v>
      </c>
      <c r="E769" s="1">
        <v>45959</v>
      </c>
      <c r="F769" s="2">
        <v>45821</v>
      </c>
      <c r="G769" t="s">
        <v>2446</v>
      </c>
      <c r="H769" t="s">
        <v>29</v>
      </c>
      <c r="I769" t="s">
        <v>2447</v>
      </c>
      <c r="J769">
        <v>0</v>
      </c>
    </row>
    <row r="770" spans="1:10" x14ac:dyDescent="0.3">
      <c r="A770">
        <v>1098</v>
      </c>
      <c r="B770" t="s">
        <v>2448</v>
      </c>
      <c r="C770">
        <v>66</v>
      </c>
      <c r="D770" t="s">
        <v>16</v>
      </c>
      <c r="E770" s="2">
        <v>45794</v>
      </c>
      <c r="F770" s="2">
        <v>45533</v>
      </c>
      <c r="G770" t="s">
        <v>2449</v>
      </c>
      <c r="H770" t="s">
        <v>25</v>
      </c>
      <c r="I770" t="s">
        <v>2450</v>
      </c>
      <c r="J770" t="s">
        <v>65</v>
      </c>
    </row>
    <row r="771" spans="1:10" x14ac:dyDescent="0.3">
      <c r="A771">
        <v>1099</v>
      </c>
      <c r="B771" t="s">
        <v>697</v>
      </c>
      <c r="C771">
        <v>42</v>
      </c>
      <c r="D771" t="s">
        <v>76</v>
      </c>
      <c r="E771" s="2">
        <v>45868</v>
      </c>
      <c r="F771" s="2">
        <v>45725</v>
      </c>
      <c r="G771" t="s">
        <v>2451</v>
      </c>
      <c r="H771" t="s">
        <v>13</v>
      </c>
      <c r="I771" t="s">
        <v>2452</v>
      </c>
      <c r="J771">
        <v>1</v>
      </c>
    </row>
    <row r="772" spans="1:10" x14ac:dyDescent="0.3">
      <c r="A772">
        <v>1032</v>
      </c>
      <c r="B772" t="s">
        <v>2453</v>
      </c>
      <c r="C772">
        <v>19</v>
      </c>
      <c r="D772">
        <v>0</v>
      </c>
      <c r="E772" s="2">
        <v>45907</v>
      </c>
      <c r="F772" s="2">
        <v>45442</v>
      </c>
      <c r="G772" t="s">
        <v>2454</v>
      </c>
      <c r="H772" t="s">
        <v>13</v>
      </c>
      <c r="I772" t="s">
        <v>2455</v>
      </c>
      <c r="J772">
        <v>1</v>
      </c>
    </row>
    <row r="773" spans="1:10" x14ac:dyDescent="0.3">
      <c r="A773">
        <v>1034</v>
      </c>
      <c r="B773" t="s">
        <v>2456</v>
      </c>
      <c r="C773">
        <v>41</v>
      </c>
      <c r="D773" t="s">
        <v>23</v>
      </c>
      <c r="E773" s="2">
        <v>46056</v>
      </c>
      <c r="F773" s="2">
        <v>45934</v>
      </c>
      <c r="G773" t="s">
        <v>2457</v>
      </c>
      <c r="H773" t="s">
        <v>13</v>
      </c>
      <c r="I773" t="s">
        <v>2458</v>
      </c>
      <c r="J773" t="s">
        <v>39</v>
      </c>
    </row>
    <row r="774" spans="1:10" x14ac:dyDescent="0.3">
      <c r="A774">
        <v>1005</v>
      </c>
      <c r="B774" t="s">
        <v>1977</v>
      </c>
      <c r="C774">
        <v>27</v>
      </c>
      <c r="D774" t="s">
        <v>41</v>
      </c>
      <c r="E774" t="s">
        <v>2459</v>
      </c>
      <c r="F774" s="2">
        <v>45394</v>
      </c>
      <c r="G774" t="s">
        <v>2460</v>
      </c>
      <c r="H774" t="s">
        <v>29</v>
      </c>
      <c r="I774" t="s">
        <v>2461</v>
      </c>
      <c r="J774">
        <v>1</v>
      </c>
    </row>
    <row r="775" spans="1:10" x14ac:dyDescent="0.3">
      <c r="A775">
        <v>1050</v>
      </c>
      <c r="B775" t="s">
        <v>2462</v>
      </c>
      <c r="C775">
        <v>21</v>
      </c>
      <c r="D775">
        <v>0</v>
      </c>
      <c r="E775" s="2">
        <v>45853</v>
      </c>
      <c r="F775" s="2">
        <v>45496</v>
      </c>
      <c r="G775" t="s">
        <v>2463</v>
      </c>
      <c r="H775" t="s">
        <v>25</v>
      </c>
      <c r="I775" t="s">
        <v>2464</v>
      </c>
      <c r="J775">
        <v>0</v>
      </c>
    </row>
    <row r="776" spans="1:10" x14ac:dyDescent="0.3">
      <c r="A776">
        <v>1069</v>
      </c>
      <c r="B776" t="s">
        <v>2465</v>
      </c>
      <c r="C776">
        <v>20</v>
      </c>
      <c r="D776">
        <v>1</v>
      </c>
      <c r="E776" s="2">
        <v>45778</v>
      </c>
      <c r="F776" s="1">
        <v>45775</v>
      </c>
      <c r="G776" t="s">
        <v>2466</v>
      </c>
      <c r="H776" t="s">
        <v>19</v>
      </c>
      <c r="I776" t="s">
        <v>2467</v>
      </c>
      <c r="J776" t="s">
        <v>65</v>
      </c>
    </row>
    <row r="777" spans="1:10" x14ac:dyDescent="0.3">
      <c r="A777">
        <v>1001</v>
      </c>
      <c r="B777" t="s">
        <v>2468</v>
      </c>
      <c r="C777">
        <v>84</v>
      </c>
      <c r="D777" t="s">
        <v>56</v>
      </c>
      <c r="E777" s="1">
        <v>46358</v>
      </c>
      <c r="F777" s="2">
        <v>45464</v>
      </c>
      <c r="G777" t="s">
        <v>2469</v>
      </c>
      <c r="H777" t="s">
        <v>13</v>
      </c>
      <c r="I777" t="s">
        <v>2470</v>
      </c>
      <c r="J777" t="s">
        <v>31</v>
      </c>
    </row>
    <row r="778" spans="1:10" x14ac:dyDescent="0.3">
      <c r="A778">
        <v>1066</v>
      </c>
      <c r="B778" t="s">
        <v>2471</v>
      </c>
      <c r="C778">
        <v>74</v>
      </c>
      <c r="D778" t="s">
        <v>41</v>
      </c>
      <c r="E778" s="2">
        <v>45800</v>
      </c>
      <c r="F778" s="1">
        <v>45652</v>
      </c>
      <c r="G778" t="s">
        <v>2472</v>
      </c>
      <c r="H778" t="s">
        <v>19</v>
      </c>
      <c r="I778" t="s">
        <v>2473</v>
      </c>
      <c r="J778" t="s">
        <v>21</v>
      </c>
    </row>
    <row r="779" spans="1:10" x14ac:dyDescent="0.3">
      <c r="A779">
        <v>1018</v>
      </c>
      <c r="B779" t="s">
        <v>2474</v>
      </c>
      <c r="C779">
        <v>70</v>
      </c>
      <c r="D779" t="s">
        <v>11</v>
      </c>
      <c r="E779" s="2">
        <v>45778</v>
      </c>
      <c r="F779" s="1">
        <v>45552</v>
      </c>
      <c r="G779" t="s">
        <v>2475</v>
      </c>
      <c r="H779" t="s">
        <v>13</v>
      </c>
      <c r="I779" t="s">
        <v>2476</v>
      </c>
      <c r="J779">
        <v>1</v>
      </c>
    </row>
    <row r="780" spans="1:10" x14ac:dyDescent="0.3">
      <c r="A780">
        <v>1033</v>
      </c>
      <c r="B780" t="s">
        <v>2477</v>
      </c>
      <c r="C780">
        <v>75</v>
      </c>
      <c r="D780" t="s">
        <v>41</v>
      </c>
      <c r="E780" s="2">
        <v>46075</v>
      </c>
      <c r="F780" s="2">
        <v>45713</v>
      </c>
      <c r="G780" t="s">
        <v>2478</v>
      </c>
      <c r="H780" t="s">
        <v>29</v>
      </c>
      <c r="I780" t="s">
        <v>2479</v>
      </c>
      <c r="J780" t="s">
        <v>39</v>
      </c>
    </row>
    <row r="781" spans="1:10" x14ac:dyDescent="0.3">
      <c r="A781">
        <v>1094</v>
      </c>
      <c r="B781" t="s">
        <v>2480</v>
      </c>
      <c r="C781">
        <v>87</v>
      </c>
      <c r="D781" t="s">
        <v>76</v>
      </c>
      <c r="E781" s="1">
        <v>45952</v>
      </c>
      <c r="F781" t="s">
        <v>2481</v>
      </c>
      <c r="G781" t="s">
        <v>2482</v>
      </c>
      <c r="H781" t="s">
        <v>13</v>
      </c>
      <c r="I781" t="s">
        <v>2483</v>
      </c>
      <c r="J781">
        <v>1</v>
      </c>
    </row>
    <row r="782" spans="1:10" x14ac:dyDescent="0.3">
      <c r="A782">
        <v>1078</v>
      </c>
      <c r="B782" t="s">
        <v>2484</v>
      </c>
      <c r="C782">
        <v>52</v>
      </c>
      <c r="D782" t="s">
        <v>11</v>
      </c>
      <c r="E782" s="2">
        <v>45985</v>
      </c>
      <c r="F782" s="2">
        <v>45422</v>
      </c>
      <c r="G782" t="s">
        <v>2485</v>
      </c>
      <c r="H782" t="s">
        <v>13</v>
      </c>
      <c r="I782" t="s">
        <v>2486</v>
      </c>
      <c r="J782" t="s">
        <v>65</v>
      </c>
    </row>
    <row r="783" spans="1:10" x14ac:dyDescent="0.3">
      <c r="A783">
        <v>1072</v>
      </c>
      <c r="B783" t="s">
        <v>2487</v>
      </c>
      <c r="C783">
        <v>86</v>
      </c>
      <c r="D783" t="s">
        <v>11</v>
      </c>
      <c r="E783" s="2">
        <v>45842</v>
      </c>
      <c r="F783" s="2">
        <v>45676</v>
      </c>
      <c r="G783" t="s">
        <v>2488</v>
      </c>
      <c r="H783" t="s">
        <v>19</v>
      </c>
      <c r="I783" t="s">
        <v>2489</v>
      </c>
      <c r="J783" t="s">
        <v>21</v>
      </c>
    </row>
    <row r="784" spans="1:10" x14ac:dyDescent="0.3">
      <c r="A784">
        <v>1011</v>
      </c>
      <c r="B784" t="s">
        <v>2490</v>
      </c>
      <c r="C784">
        <v>65</v>
      </c>
      <c r="D784" t="s">
        <v>11</v>
      </c>
      <c r="E784" s="2">
        <v>45923</v>
      </c>
      <c r="F784" s="1">
        <v>45295</v>
      </c>
      <c r="G784" t="s">
        <v>32</v>
      </c>
      <c r="H784" t="s">
        <v>19</v>
      </c>
      <c r="I784" t="s">
        <v>2491</v>
      </c>
      <c r="J784" t="s">
        <v>21</v>
      </c>
    </row>
    <row r="785" spans="1:10" x14ac:dyDescent="0.3">
      <c r="A785">
        <v>1045</v>
      </c>
      <c r="B785" t="s">
        <v>2492</v>
      </c>
      <c r="C785">
        <v>65</v>
      </c>
      <c r="D785">
        <v>1</v>
      </c>
      <c r="E785" s="2">
        <v>45744</v>
      </c>
      <c r="F785" s="2">
        <v>45661</v>
      </c>
      <c r="G785" t="s">
        <v>2493</v>
      </c>
      <c r="H785" t="s">
        <v>19</v>
      </c>
      <c r="I785" t="s">
        <v>2494</v>
      </c>
      <c r="J785" t="s">
        <v>31</v>
      </c>
    </row>
    <row r="786" spans="1:10" x14ac:dyDescent="0.3">
      <c r="A786">
        <v>1095</v>
      </c>
      <c r="B786" t="s">
        <v>183</v>
      </c>
      <c r="C786">
        <v>73</v>
      </c>
      <c r="D786" t="s">
        <v>56</v>
      </c>
      <c r="E786" s="2">
        <v>46022</v>
      </c>
      <c r="F786" s="1">
        <v>45640</v>
      </c>
      <c r="G786" t="s">
        <v>2495</v>
      </c>
      <c r="H786" t="s">
        <v>25</v>
      </c>
      <c r="I786" t="s">
        <v>2496</v>
      </c>
      <c r="J786" t="s">
        <v>39</v>
      </c>
    </row>
    <row r="787" spans="1:10" x14ac:dyDescent="0.3">
      <c r="A787">
        <v>1074</v>
      </c>
      <c r="B787" t="s">
        <v>2497</v>
      </c>
      <c r="C787">
        <v>64</v>
      </c>
      <c r="D787" t="s">
        <v>23</v>
      </c>
      <c r="E787" t="s">
        <v>622</v>
      </c>
      <c r="F787" s="2">
        <v>46063</v>
      </c>
      <c r="G787" t="s">
        <v>2498</v>
      </c>
      <c r="H787" t="s">
        <v>25</v>
      </c>
      <c r="I787" t="s">
        <v>2499</v>
      </c>
      <c r="J787" t="s">
        <v>21</v>
      </c>
    </row>
    <row r="788" spans="1:10" x14ac:dyDescent="0.3">
      <c r="A788">
        <v>1080</v>
      </c>
      <c r="B788" t="s">
        <v>2500</v>
      </c>
      <c r="C788">
        <v>49</v>
      </c>
      <c r="D788" t="s">
        <v>56</v>
      </c>
      <c r="E788" s="1">
        <v>45960</v>
      </c>
      <c r="F788" s="2">
        <v>45820</v>
      </c>
      <c r="G788" t="s">
        <v>2501</v>
      </c>
      <c r="H788" t="s">
        <v>25</v>
      </c>
      <c r="I788" t="s">
        <v>2502</v>
      </c>
      <c r="J788" t="s">
        <v>65</v>
      </c>
    </row>
    <row r="789" spans="1:10" x14ac:dyDescent="0.3">
      <c r="A789">
        <v>1069</v>
      </c>
      <c r="B789" t="s">
        <v>2503</v>
      </c>
      <c r="C789">
        <v>48</v>
      </c>
      <c r="D789" t="s">
        <v>16</v>
      </c>
      <c r="E789" s="2">
        <v>45931</v>
      </c>
      <c r="F789" s="2">
        <v>45599</v>
      </c>
      <c r="G789" t="s">
        <v>2504</v>
      </c>
      <c r="H789" t="s">
        <v>13</v>
      </c>
      <c r="I789" t="s">
        <v>2505</v>
      </c>
      <c r="J789" t="s">
        <v>31</v>
      </c>
    </row>
    <row r="790" spans="1:10" x14ac:dyDescent="0.3">
      <c r="A790">
        <v>1051</v>
      </c>
      <c r="B790" t="s">
        <v>2506</v>
      </c>
      <c r="C790">
        <v>63</v>
      </c>
      <c r="D790">
        <v>0</v>
      </c>
      <c r="E790" s="1">
        <v>46083</v>
      </c>
      <c r="F790" s="1">
        <v>45720</v>
      </c>
      <c r="G790" t="s">
        <v>2507</v>
      </c>
      <c r="H790" t="s">
        <v>29</v>
      </c>
      <c r="I790" t="s">
        <v>2508</v>
      </c>
      <c r="J790" t="s">
        <v>39</v>
      </c>
    </row>
    <row r="791" spans="1:10" x14ac:dyDescent="0.3">
      <c r="A791">
        <v>1092</v>
      </c>
      <c r="B791" t="s">
        <v>2509</v>
      </c>
      <c r="C791">
        <v>44</v>
      </c>
      <c r="D791">
        <v>0</v>
      </c>
      <c r="E791" s="2">
        <v>45992</v>
      </c>
      <c r="F791" s="1">
        <v>45504</v>
      </c>
      <c r="G791" t="s">
        <v>2510</v>
      </c>
      <c r="H791" t="s">
        <v>19</v>
      </c>
      <c r="I791" t="s">
        <v>2511</v>
      </c>
      <c r="J791" t="s">
        <v>21</v>
      </c>
    </row>
    <row r="792" spans="1:10" x14ac:dyDescent="0.3">
      <c r="A792">
        <v>1093</v>
      </c>
      <c r="B792" t="s">
        <v>216</v>
      </c>
      <c r="C792">
        <v>23</v>
      </c>
      <c r="D792" t="s">
        <v>76</v>
      </c>
      <c r="E792" s="2">
        <v>45909</v>
      </c>
      <c r="F792" s="1">
        <v>45621</v>
      </c>
      <c r="G792" t="s">
        <v>2512</v>
      </c>
      <c r="H792" t="s">
        <v>29</v>
      </c>
      <c r="I792" t="s">
        <v>2513</v>
      </c>
      <c r="J792">
        <v>0</v>
      </c>
    </row>
    <row r="793" spans="1:10" x14ac:dyDescent="0.3">
      <c r="A793">
        <v>1075</v>
      </c>
      <c r="B793" t="s">
        <v>2514</v>
      </c>
      <c r="C793">
        <v>48</v>
      </c>
      <c r="D793">
        <v>0</v>
      </c>
      <c r="E793" s="1">
        <v>45828</v>
      </c>
      <c r="F793" s="1">
        <v>45421</v>
      </c>
      <c r="G793" t="s">
        <v>2515</v>
      </c>
      <c r="H793" t="s">
        <v>29</v>
      </c>
      <c r="J793">
        <v>1</v>
      </c>
    </row>
    <row r="794" spans="1:10" x14ac:dyDescent="0.3">
      <c r="A794">
        <v>1055</v>
      </c>
      <c r="B794" t="s">
        <v>2516</v>
      </c>
      <c r="C794">
        <v>71</v>
      </c>
      <c r="D794" t="s">
        <v>76</v>
      </c>
      <c r="E794" s="2">
        <v>45794</v>
      </c>
      <c r="F794" t="s">
        <v>2517</v>
      </c>
      <c r="G794" t="s">
        <v>2518</v>
      </c>
      <c r="H794" t="s">
        <v>19</v>
      </c>
      <c r="I794" t="s">
        <v>2519</v>
      </c>
      <c r="J794" t="s">
        <v>21</v>
      </c>
    </row>
    <row r="795" spans="1:10" x14ac:dyDescent="0.3">
      <c r="A795">
        <v>1033</v>
      </c>
      <c r="B795" t="s">
        <v>2520</v>
      </c>
      <c r="C795">
        <v>74</v>
      </c>
      <c r="D795">
        <v>0</v>
      </c>
      <c r="E795" s="2">
        <v>45886</v>
      </c>
      <c r="F795" s="2">
        <v>45586</v>
      </c>
      <c r="G795" t="s">
        <v>2521</v>
      </c>
      <c r="H795" t="s">
        <v>29</v>
      </c>
      <c r="I795" t="s">
        <v>2522</v>
      </c>
      <c r="J795">
        <v>0</v>
      </c>
    </row>
    <row r="796" spans="1:10" x14ac:dyDescent="0.3">
      <c r="A796">
        <v>1074</v>
      </c>
      <c r="B796" t="s">
        <v>2523</v>
      </c>
      <c r="C796">
        <v>48</v>
      </c>
      <c r="D796">
        <v>0</v>
      </c>
      <c r="E796" s="1">
        <v>45755</v>
      </c>
      <c r="F796" s="1">
        <v>45718</v>
      </c>
      <c r="G796" t="s">
        <v>2524</v>
      </c>
      <c r="H796" t="s">
        <v>13</v>
      </c>
      <c r="I796" t="s">
        <v>2525</v>
      </c>
      <c r="J796">
        <v>0</v>
      </c>
    </row>
    <row r="797" spans="1:10" x14ac:dyDescent="0.3">
      <c r="A797">
        <v>1039</v>
      </c>
      <c r="B797" t="s">
        <v>2526</v>
      </c>
      <c r="C797">
        <v>58</v>
      </c>
      <c r="D797" t="s">
        <v>76</v>
      </c>
      <c r="E797" s="1">
        <v>45812</v>
      </c>
      <c r="F797" s="2">
        <v>45509</v>
      </c>
      <c r="G797" t="s">
        <v>2527</v>
      </c>
      <c r="H797" t="s">
        <v>25</v>
      </c>
      <c r="I797" t="s">
        <v>2528</v>
      </c>
      <c r="J797">
        <v>1</v>
      </c>
    </row>
    <row r="798" spans="1:10" x14ac:dyDescent="0.3">
      <c r="A798">
        <v>1050</v>
      </c>
      <c r="B798" t="s">
        <v>2529</v>
      </c>
      <c r="C798">
        <v>46</v>
      </c>
      <c r="D798" t="s">
        <v>41</v>
      </c>
      <c r="E798" s="2">
        <v>45763</v>
      </c>
      <c r="F798" s="1">
        <v>45589</v>
      </c>
      <c r="G798" t="s">
        <v>2530</v>
      </c>
      <c r="H798" t="s">
        <v>13</v>
      </c>
      <c r="J798">
        <v>0</v>
      </c>
    </row>
    <row r="799" spans="1:10" x14ac:dyDescent="0.3">
      <c r="A799">
        <v>1056</v>
      </c>
      <c r="B799" t="s">
        <v>2531</v>
      </c>
      <c r="C799">
        <v>71</v>
      </c>
      <c r="D799" t="s">
        <v>41</v>
      </c>
      <c r="E799" s="2">
        <v>45984</v>
      </c>
      <c r="F799" t="s">
        <v>2532</v>
      </c>
      <c r="G799" t="s">
        <v>2533</v>
      </c>
      <c r="H799" t="s">
        <v>29</v>
      </c>
      <c r="I799" t="s">
        <v>2534</v>
      </c>
      <c r="J799">
        <v>0</v>
      </c>
    </row>
    <row r="800" spans="1:10" x14ac:dyDescent="0.3">
      <c r="A800">
        <v>1025</v>
      </c>
      <c r="B800" t="s">
        <v>2535</v>
      </c>
      <c r="C800">
        <v>28</v>
      </c>
      <c r="D800">
        <v>1</v>
      </c>
      <c r="E800" s="2">
        <v>45956</v>
      </c>
      <c r="F800" s="2">
        <v>45710</v>
      </c>
      <c r="G800" t="s">
        <v>2536</v>
      </c>
      <c r="H800" t="s">
        <v>19</v>
      </c>
      <c r="I800" t="s">
        <v>2537</v>
      </c>
      <c r="J800" t="s">
        <v>39</v>
      </c>
    </row>
    <row r="801" spans="1:10" x14ac:dyDescent="0.3">
      <c r="A801">
        <v>1037</v>
      </c>
      <c r="B801" t="s">
        <v>2538</v>
      </c>
      <c r="C801">
        <v>39</v>
      </c>
      <c r="D801" t="s">
        <v>23</v>
      </c>
      <c r="E801" t="s">
        <v>2539</v>
      </c>
      <c r="F801" s="1">
        <v>45864</v>
      </c>
      <c r="G801" t="s">
        <v>2540</v>
      </c>
      <c r="H801" t="s">
        <v>29</v>
      </c>
      <c r="I801" t="s">
        <v>2541</v>
      </c>
      <c r="J801" t="s">
        <v>21</v>
      </c>
    </row>
    <row r="802" spans="1:10" x14ac:dyDescent="0.3">
      <c r="A802">
        <v>1010</v>
      </c>
      <c r="B802" t="s">
        <v>2542</v>
      </c>
      <c r="C802">
        <v>71</v>
      </c>
      <c r="D802" t="s">
        <v>41</v>
      </c>
      <c r="E802" s="2">
        <v>45838</v>
      </c>
      <c r="F802" s="1">
        <v>45517</v>
      </c>
      <c r="G802" t="s">
        <v>2543</v>
      </c>
      <c r="H802" t="s">
        <v>19</v>
      </c>
      <c r="I802" t="s">
        <v>2544</v>
      </c>
      <c r="J802" t="s">
        <v>21</v>
      </c>
    </row>
    <row r="803" spans="1:10" x14ac:dyDescent="0.3">
      <c r="A803">
        <v>1039</v>
      </c>
      <c r="B803" t="s">
        <v>2545</v>
      </c>
      <c r="C803">
        <v>46</v>
      </c>
      <c r="D803" t="s">
        <v>16</v>
      </c>
      <c r="E803" s="2">
        <v>45867</v>
      </c>
      <c r="F803" s="1">
        <v>45992</v>
      </c>
      <c r="G803" t="s">
        <v>2546</v>
      </c>
      <c r="H803" t="s">
        <v>13</v>
      </c>
      <c r="I803" t="s">
        <v>2547</v>
      </c>
      <c r="J803">
        <v>1</v>
      </c>
    </row>
    <row r="804" spans="1:10" x14ac:dyDescent="0.3">
      <c r="A804">
        <v>1040</v>
      </c>
      <c r="B804" t="s">
        <v>2548</v>
      </c>
      <c r="C804">
        <v>62</v>
      </c>
      <c r="D804" t="s">
        <v>56</v>
      </c>
      <c r="E804" s="2">
        <v>46043</v>
      </c>
      <c r="F804" s="1">
        <v>45639</v>
      </c>
      <c r="G804" t="s">
        <v>2549</v>
      </c>
      <c r="H804" t="s">
        <v>25</v>
      </c>
      <c r="I804" t="s">
        <v>2550</v>
      </c>
      <c r="J804" t="s">
        <v>39</v>
      </c>
    </row>
    <row r="805" spans="1:10" x14ac:dyDescent="0.3">
      <c r="A805">
        <v>1100</v>
      </c>
      <c r="B805" t="s">
        <v>2551</v>
      </c>
      <c r="C805">
        <v>52</v>
      </c>
      <c r="D805" t="s">
        <v>41</v>
      </c>
      <c r="E805" s="1">
        <v>45967</v>
      </c>
      <c r="F805" s="1">
        <v>45556</v>
      </c>
      <c r="G805" t="s">
        <v>2552</v>
      </c>
      <c r="H805" t="s">
        <v>25</v>
      </c>
      <c r="I805" t="s">
        <v>2553</v>
      </c>
      <c r="J805">
        <v>1</v>
      </c>
    </row>
    <row r="806" spans="1:10" x14ac:dyDescent="0.3">
      <c r="A806">
        <v>1071</v>
      </c>
      <c r="B806" t="s">
        <v>2554</v>
      </c>
      <c r="C806">
        <v>41</v>
      </c>
      <c r="D806" t="s">
        <v>11</v>
      </c>
      <c r="E806" s="1">
        <v>46056</v>
      </c>
      <c r="F806" s="2">
        <v>45927</v>
      </c>
      <c r="G806" t="s">
        <v>2555</v>
      </c>
      <c r="H806" t="s">
        <v>29</v>
      </c>
      <c r="I806" t="s">
        <v>2556</v>
      </c>
      <c r="J806" t="s">
        <v>65</v>
      </c>
    </row>
    <row r="807" spans="1:10" x14ac:dyDescent="0.3">
      <c r="A807">
        <v>1097</v>
      </c>
      <c r="B807" t="s">
        <v>2557</v>
      </c>
      <c r="C807">
        <v>88</v>
      </c>
      <c r="D807" t="s">
        <v>16</v>
      </c>
      <c r="E807" s="2">
        <v>46018</v>
      </c>
      <c r="F807" s="2">
        <v>45651</v>
      </c>
      <c r="G807" t="s">
        <v>2558</v>
      </c>
      <c r="H807" t="s">
        <v>29</v>
      </c>
      <c r="I807" t="s">
        <v>2559</v>
      </c>
      <c r="J807" t="s">
        <v>21</v>
      </c>
    </row>
    <row r="808" spans="1:10" x14ac:dyDescent="0.3">
      <c r="A808">
        <v>1047</v>
      </c>
      <c r="B808" t="s">
        <v>2560</v>
      </c>
      <c r="C808">
        <v>51</v>
      </c>
      <c r="D808">
        <v>1</v>
      </c>
      <c r="E808" s="2">
        <v>45962</v>
      </c>
      <c r="F808" t="s">
        <v>2561</v>
      </c>
      <c r="G808" t="s">
        <v>2562</v>
      </c>
      <c r="H808" t="s">
        <v>25</v>
      </c>
      <c r="I808" t="s">
        <v>2563</v>
      </c>
      <c r="J808">
        <v>1</v>
      </c>
    </row>
    <row r="809" spans="1:10" x14ac:dyDescent="0.3">
      <c r="A809">
        <v>1041</v>
      </c>
      <c r="B809" t="s">
        <v>2564</v>
      </c>
      <c r="C809">
        <v>70</v>
      </c>
      <c r="D809">
        <v>1</v>
      </c>
      <c r="E809" s="2">
        <v>45864</v>
      </c>
      <c r="F809" s="1">
        <v>45331</v>
      </c>
      <c r="G809" t="s">
        <v>2565</v>
      </c>
      <c r="H809" t="s">
        <v>25</v>
      </c>
      <c r="J809">
        <v>0</v>
      </c>
    </row>
    <row r="810" spans="1:10" x14ac:dyDescent="0.3">
      <c r="A810">
        <v>1067</v>
      </c>
      <c r="B810" t="s">
        <v>2566</v>
      </c>
      <c r="C810">
        <v>57</v>
      </c>
      <c r="D810" t="s">
        <v>11</v>
      </c>
      <c r="E810" s="2">
        <v>46013</v>
      </c>
      <c r="F810" s="1">
        <v>45809</v>
      </c>
      <c r="G810" t="s">
        <v>660</v>
      </c>
      <c r="H810" t="s">
        <v>25</v>
      </c>
      <c r="I810" t="s">
        <v>2567</v>
      </c>
      <c r="J810" t="s">
        <v>65</v>
      </c>
    </row>
    <row r="811" spans="1:10" x14ac:dyDescent="0.3">
      <c r="A811">
        <v>1064</v>
      </c>
      <c r="B811" t="s">
        <v>2568</v>
      </c>
      <c r="C811">
        <v>57</v>
      </c>
      <c r="D811" t="s">
        <v>56</v>
      </c>
      <c r="E811" s="1">
        <v>45847</v>
      </c>
      <c r="F811" s="1">
        <v>45392</v>
      </c>
      <c r="G811" t="s">
        <v>2569</v>
      </c>
      <c r="H811" t="s">
        <v>29</v>
      </c>
      <c r="I811" t="s">
        <v>2570</v>
      </c>
      <c r="J811">
        <v>0</v>
      </c>
    </row>
    <row r="812" spans="1:10" x14ac:dyDescent="0.3">
      <c r="A812">
        <v>1008</v>
      </c>
      <c r="B812" t="s">
        <v>2571</v>
      </c>
      <c r="C812">
        <v>22</v>
      </c>
      <c r="D812" t="s">
        <v>11</v>
      </c>
      <c r="E812" s="1">
        <v>46000</v>
      </c>
      <c r="F812" s="2">
        <v>45555</v>
      </c>
      <c r="G812" t="s">
        <v>2572</v>
      </c>
      <c r="H812" t="s">
        <v>29</v>
      </c>
      <c r="I812" t="s">
        <v>2573</v>
      </c>
      <c r="J812">
        <v>1</v>
      </c>
    </row>
    <row r="813" spans="1:10" x14ac:dyDescent="0.3">
      <c r="A813">
        <v>1097</v>
      </c>
      <c r="B813" t="s">
        <v>2574</v>
      </c>
      <c r="C813">
        <v>42</v>
      </c>
      <c r="D813" t="s">
        <v>41</v>
      </c>
      <c r="E813" s="2">
        <v>46054</v>
      </c>
      <c r="F813" s="2">
        <v>46022</v>
      </c>
      <c r="G813" t="s">
        <v>2575</v>
      </c>
      <c r="H813" t="s">
        <v>25</v>
      </c>
      <c r="I813" t="s">
        <v>2576</v>
      </c>
      <c r="J813" t="s">
        <v>31</v>
      </c>
    </row>
    <row r="814" spans="1:10" x14ac:dyDescent="0.3">
      <c r="A814">
        <v>1053</v>
      </c>
      <c r="B814" t="s">
        <v>2577</v>
      </c>
      <c r="C814">
        <v>39</v>
      </c>
      <c r="D814">
        <v>1</v>
      </c>
      <c r="E814" s="1">
        <v>46037</v>
      </c>
      <c r="F814" s="1">
        <v>45972</v>
      </c>
      <c r="G814" t="s">
        <v>2578</v>
      </c>
      <c r="H814" t="s">
        <v>29</v>
      </c>
      <c r="I814" t="s">
        <v>2579</v>
      </c>
      <c r="J814" t="s">
        <v>65</v>
      </c>
    </row>
    <row r="815" spans="1:10" x14ac:dyDescent="0.3">
      <c r="A815">
        <v>1035</v>
      </c>
      <c r="B815" t="s">
        <v>2580</v>
      </c>
      <c r="C815">
        <v>46</v>
      </c>
      <c r="D815" t="s">
        <v>16</v>
      </c>
      <c r="E815" s="1">
        <v>45882</v>
      </c>
      <c r="F815" s="1">
        <v>45802</v>
      </c>
      <c r="G815" t="s">
        <v>2581</v>
      </c>
      <c r="H815" t="s">
        <v>13</v>
      </c>
      <c r="I815" t="s">
        <v>2582</v>
      </c>
      <c r="J815">
        <v>1</v>
      </c>
    </row>
    <row r="816" spans="1:10" x14ac:dyDescent="0.3">
      <c r="A816">
        <v>1074</v>
      </c>
      <c r="B816" t="s">
        <v>2583</v>
      </c>
      <c r="C816">
        <v>87</v>
      </c>
      <c r="E816" s="2">
        <v>45796</v>
      </c>
      <c r="F816" s="1">
        <v>45455</v>
      </c>
      <c r="G816" t="s">
        <v>2584</v>
      </c>
      <c r="H816" t="s">
        <v>29</v>
      </c>
      <c r="I816" t="s">
        <v>2585</v>
      </c>
      <c r="J816" t="s">
        <v>21</v>
      </c>
    </row>
    <row r="817" spans="1:10" x14ac:dyDescent="0.3">
      <c r="A817">
        <v>1015</v>
      </c>
      <c r="B817" t="s">
        <v>2586</v>
      </c>
      <c r="C817">
        <v>21</v>
      </c>
      <c r="D817" t="s">
        <v>11</v>
      </c>
      <c r="E817" s="1">
        <v>45842</v>
      </c>
      <c r="F817" s="2">
        <v>45695</v>
      </c>
      <c r="G817" t="s">
        <v>1691</v>
      </c>
      <c r="H817" t="s">
        <v>13</v>
      </c>
      <c r="I817" t="s">
        <v>2587</v>
      </c>
      <c r="J817" t="s">
        <v>65</v>
      </c>
    </row>
    <row r="818" spans="1:10" x14ac:dyDescent="0.3">
      <c r="A818">
        <v>1071</v>
      </c>
      <c r="B818" t="s">
        <v>2588</v>
      </c>
      <c r="C818">
        <v>88</v>
      </c>
      <c r="D818" t="s">
        <v>16</v>
      </c>
      <c r="E818" t="s">
        <v>2589</v>
      </c>
      <c r="F818" s="1">
        <v>45831</v>
      </c>
      <c r="G818" t="s">
        <v>2590</v>
      </c>
      <c r="H818" t="s">
        <v>13</v>
      </c>
      <c r="I818" t="s">
        <v>2591</v>
      </c>
      <c r="J818" t="s">
        <v>39</v>
      </c>
    </row>
    <row r="819" spans="1:10" x14ac:dyDescent="0.3">
      <c r="A819">
        <v>1044</v>
      </c>
      <c r="B819" t="s">
        <v>2592</v>
      </c>
      <c r="C819">
        <v>83</v>
      </c>
      <c r="D819">
        <v>1</v>
      </c>
      <c r="E819" s="2">
        <v>45824</v>
      </c>
      <c r="F819" s="1">
        <v>45841</v>
      </c>
      <c r="G819" t="s">
        <v>728</v>
      </c>
      <c r="H819" t="s">
        <v>13</v>
      </c>
      <c r="J819" t="s">
        <v>31</v>
      </c>
    </row>
    <row r="820" spans="1:10" x14ac:dyDescent="0.3">
      <c r="A820">
        <v>1038</v>
      </c>
      <c r="B820" t="s">
        <v>2593</v>
      </c>
      <c r="C820">
        <v>29</v>
      </c>
      <c r="D820" t="s">
        <v>16</v>
      </c>
      <c r="E820" s="2">
        <v>46073</v>
      </c>
      <c r="F820" s="2">
        <v>45526</v>
      </c>
      <c r="G820" t="s">
        <v>2594</v>
      </c>
      <c r="H820" t="s">
        <v>25</v>
      </c>
      <c r="I820" t="s">
        <v>2595</v>
      </c>
      <c r="J820">
        <v>0</v>
      </c>
    </row>
    <row r="821" spans="1:10" x14ac:dyDescent="0.3">
      <c r="A821">
        <v>1001</v>
      </c>
      <c r="B821" t="s">
        <v>2596</v>
      </c>
      <c r="C821">
        <v>30</v>
      </c>
      <c r="D821" t="s">
        <v>76</v>
      </c>
      <c r="E821" s="2">
        <v>45807</v>
      </c>
      <c r="F821" s="2">
        <v>45631</v>
      </c>
      <c r="G821" t="s">
        <v>2597</v>
      </c>
      <c r="H821" t="s">
        <v>25</v>
      </c>
      <c r="J821" t="s">
        <v>39</v>
      </c>
    </row>
    <row r="822" spans="1:10" x14ac:dyDescent="0.3">
      <c r="A822">
        <v>1056</v>
      </c>
      <c r="B822" t="s">
        <v>2598</v>
      </c>
      <c r="C822">
        <v>33</v>
      </c>
      <c r="E822" s="2">
        <v>45946</v>
      </c>
      <c r="F822" s="2">
        <v>45548</v>
      </c>
      <c r="G822" t="s">
        <v>2599</v>
      </c>
      <c r="H822" t="s">
        <v>19</v>
      </c>
      <c r="I822" t="s">
        <v>2600</v>
      </c>
      <c r="J822" t="s">
        <v>31</v>
      </c>
    </row>
    <row r="823" spans="1:10" x14ac:dyDescent="0.3">
      <c r="A823">
        <v>1008</v>
      </c>
      <c r="B823" t="s">
        <v>2601</v>
      </c>
      <c r="C823">
        <v>71</v>
      </c>
      <c r="E823" s="2">
        <v>45906</v>
      </c>
      <c r="F823" s="1">
        <v>45433</v>
      </c>
      <c r="G823" t="s">
        <v>2602</v>
      </c>
      <c r="H823" t="s">
        <v>25</v>
      </c>
      <c r="I823" t="s">
        <v>2603</v>
      </c>
      <c r="J823">
        <v>0</v>
      </c>
    </row>
    <row r="824" spans="1:10" x14ac:dyDescent="0.3">
      <c r="A824">
        <v>1099</v>
      </c>
      <c r="B824" t="s">
        <v>2604</v>
      </c>
      <c r="C824">
        <v>74</v>
      </c>
      <c r="D824" t="s">
        <v>76</v>
      </c>
      <c r="E824" s="1">
        <v>45786</v>
      </c>
      <c r="F824" s="1">
        <v>45637</v>
      </c>
      <c r="G824" t="s">
        <v>2605</v>
      </c>
      <c r="H824" t="s">
        <v>13</v>
      </c>
      <c r="I824" t="s">
        <v>2606</v>
      </c>
      <c r="J824" t="s">
        <v>65</v>
      </c>
    </row>
    <row r="825" spans="1:10" x14ac:dyDescent="0.3">
      <c r="A825">
        <v>1060</v>
      </c>
      <c r="B825" t="s">
        <v>2607</v>
      </c>
      <c r="C825">
        <v>26</v>
      </c>
      <c r="D825" t="s">
        <v>76</v>
      </c>
      <c r="E825" t="s">
        <v>2608</v>
      </c>
      <c r="F825" s="1">
        <v>45638</v>
      </c>
      <c r="G825" t="s">
        <v>2609</v>
      </c>
      <c r="H825" t="s">
        <v>19</v>
      </c>
      <c r="I825" t="s">
        <v>2610</v>
      </c>
      <c r="J825" t="s">
        <v>31</v>
      </c>
    </row>
    <row r="826" spans="1:10" x14ac:dyDescent="0.3">
      <c r="A826">
        <v>1080</v>
      </c>
      <c r="B826" t="s">
        <v>2611</v>
      </c>
      <c r="C826">
        <v>18</v>
      </c>
      <c r="D826" t="s">
        <v>76</v>
      </c>
      <c r="E826" s="1">
        <v>45812</v>
      </c>
      <c r="F826" t="s">
        <v>2612</v>
      </c>
      <c r="G826" t="s">
        <v>2613</v>
      </c>
      <c r="H826" t="s">
        <v>25</v>
      </c>
      <c r="I826" t="s">
        <v>2614</v>
      </c>
      <c r="J826" t="s">
        <v>31</v>
      </c>
    </row>
    <row r="827" spans="1:10" x14ac:dyDescent="0.3">
      <c r="A827">
        <v>1056</v>
      </c>
      <c r="B827" t="s">
        <v>2615</v>
      </c>
      <c r="C827">
        <v>26</v>
      </c>
      <c r="D827">
        <v>0</v>
      </c>
      <c r="E827" s="2">
        <v>45987</v>
      </c>
      <c r="F827" s="1">
        <v>45764</v>
      </c>
      <c r="G827" t="s">
        <v>2616</v>
      </c>
      <c r="H827" t="s">
        <v>25</v>
      </c>
      <c r="I827" t="s">
        <v>2617</v>
      </c>
      <c r="J827" t="s">
        <v>31</v>
      </c>
    </row>
    <row r="828" spans="1:10" x14ac:dyDescent="0.3">
      <c r="A828">
        <v>1077</v>
      </c>
      <c r="B828" t="s">
        <v>2618</v>
      </c>
      <c r="C828">
        <v>78</v>
      </c>
      <c r="D828" t="s">
        <v>56</v>
      </c>
      <c r="E828" s="1">
        <v>46266</v>
      </c>
      <c r="F828" s="1">
        <v>45784</v>
      </c>
      <c r="G828" t="s">
        <v>2619</v>
      </c>
      <c r="H828" t="s">
        <v>13</v>
      </c>
      <c r="I828" t="s">
        <v>2620</v>
      </c>
      <c r="J828">
        <v>0</v>
      </c>
    </row>
    <row r="829" spans="1:10" x14ac:dyDescent="0.3">
      <c r="A829">
        <v>1036</v>
      </c>
      <c r="B829" t="s">
        <v>2621</v>
      </c>
      <c r="C829">
        <v>25</v>
      </c>
      <c r="D829" t="s">
        <v>76</v>
      </c>
      <c r="E829" s="2">
        <v>45822</v>
      </c>
      <c r="F829" t="s">
        <v>2622</v>
      </c>
      <c r="G829" t="s">
        <v>2623</v>
      </c>
      <c r="H829" t="s">
        <v>25</v>
      </c>
      <c r="I829" t="s">
        <v>2624</v>
      </c>
      <c r="J829" t="s">
        <v>39</v>
      </c>
    </row>
    <row r="830" spans="1:10" x14ac:dyDescent="0.3">
      <c r="A830">
        <v>1050</v>
      </c>
      <c r="B830" t="s">
        <v>784</v>
      </c>
      <c r="C830">
        <v>41</v>
      </c>
      <c r="D830" t="s">
        <v>11</v>
      </c>
      <c r="E830" s="2">
        <v>46060</v>
      </c>
      <c r="F830" s="1">
        <v>45804</v>
      </c>
      <c r="G830" t="s">
        <v>2625</v>
      </c>
      <c r="H830" t="s">
        <v>19</v>
      </c>
      <c r="I830" t="s">
        <v>2626</v>
      </c>
      <c r="J830" t="s">
        <v>39</v>
      </c>
    </row>
    <row r="831" spans="1:10" x14ac:dyDescent="0.3">
      <c r="A831">
        <v>1003</v>
      </c>
      <c r="B831" t="s">
        <v>2627</v>
      </c>
      <c r="C831">
        <v>85</v>
      </c>
      <c r="D831" t="s">
        <v>11</v>
      </c>
      <c r="E831" s="1">
        <v>45868</v>
      </c>
      <c r="F831" s="2">
        <v>45579</v>
      </c>
      <c r="G831" t="s">
        <v>2628</v>
      </c>
      <c r="H831" t="s">
        <v>13</v>
      </c>
      <c r="I831" t="s">
        <v>2629</v>
      </c>
      <c r="J831">
        <v>1</v>
      </c>
    </row>
    <row r="832" spans="1:10" x14ac:dyDescent="0.3">
      <c r="A832">
        <v>1042</v>
      </c>
      <c r="B832" t="s">
        <v>2630</v>
      </c>
      <c r="C832">
        <v>60</v>
      </c>
      <c r="D832" t="s">
        <v>11</v>
      </c>
      <c r="E832" s="2">
        <v>45744</v>
      </c>
      <c r="F832" s="2">
        <v>45610</v>
      </c>
      <c r="G832" t="s">
        <v>2631</v>
      </c>
      <c r="H832" t="s">
        <v>19</v>
      </c>
      <c r="I832" t="s">
        <v>2632</v>
      </c>
      <c r="J832" t="s">
        <v>39</v>
      </c>
    </row>
    <row r="833" spans="1:10" x14ac:dyDescent="0.3">
      <c r="A833">
        <v>1019</v>
      </c>
      <c r="B833" t="s">
        <v>2633</v>
      </c>
      <c r="C833">
        <v>34</v>
      </c>
      <c r="D833" t="s">
        <v>41</v>
      </c>
      <c r="E833" s="2">
        <v>46081</v>
      </c>
      <c r="F833" s="1">
        <v>45869</v>
      </c>
      <c r="G833" t="s">
        <v>2634</v>
      </c>
      <c r="H833" t="s">
        <v>29</v>
      </c>
      <c r="I833" t="s">
        <v>2635</v>
      </c>
      <c r="J833" t="s">
        <v>39</v>
      </c>
    </row>
    <row r="834" spans="1:10" x14ac:dyDescent="0.3">
      <c r="A834">
        <v>1073</v>
      </c>
      <c r="B834" t="s">
        <v>2636</v>
      </c>
      <c r="C834">
        <v>32</v>
      </c>
      <c r="D834" t="s">
        <v>16</v>
      </c>
      <c r="E834" t="s">
        <v>881</v>
      </c>
      <c r="F834" t="s">
        <v>2637</v>
      </c>
      <c r="G834" t="s">
        <v>2638</v>
      </c>
      <c r="H834" t="s">
        <v>13</v>
      </c>
      <c r="I834" t="s">
        <v>2639</v>
      </c>
      <c r="J834" t="s">
        <v>21</v>
      </c>
    </row>
    <row r="835" spans="1:10" x14ac:dyDescent="0.3">
      <c r="A835">
        <v>1027</v>
      </c>
      <c r="B835" t="s">
        <v>2640</v>
      </c>
      <c r="C835">
        <v>54</v>
      </c>
      <c r="D835" t="s">
        <v>16</v>
      </c>
      <c r="E835" s="1">
        <v>46001</v>
      </c>
      <c r="F835" s="2">
        <v>45724</v>
      </c>
      <c r="G835" t="s">
        <v>2641</v>
      </c>
      <c r="H835" t="s">
        <v>19</v>
      </c>
      <c r="I835" t="s">
        <v>2642</v>
      </c>
      <c r="J835" t="s">
        <v>21</v>
      </c>
    </row>
    <row r="836" spans="1:10" x14ac:dyDescent="0.3">
      <c r="A836">
        <v>1004</v>
      </c>
      <c r="B836" t="s">
        <v>2643</v>
      </c>
      <c r="C836">
        <v>47</v>
      </c>
      <c r="D836" t="s">
        <v>41</v>
      </c>
      <c r="E836" s="2">
        <v>45986</v>
      </c>
      <c r="F836" s="1">
        <v>45571</v>
      </c>
      <c r="G836" t="s">
        <v>2644</v>
      </c>
      <c r="H836" t="s">
        <v>13</v>
      </c>
      <c r="I836" t="s">
        <v>2645</v>
      </c>
      <c r="J836">
        <v>0</v>
      </c>
    </row>
    <row r="837" spans="1:10" x14ac:dyDescent="0.3">
      <c r="A837">
        <v>1077</v>
      </c>
      <c r="B837" t="s">
        <v>2646</v>
      </c>
      <c r="C837">
        <v>21</v>
      </c>
      <c r="D837" t="s">
        <v>16</v>
      </c>
      <c r="E837" s="1">
        <v>45886</v>
      </c>
      <c r="F837" s="2">
        <v>45475</v>
      </c>
      <c r="G837" t="s">
        <v>2647</v>
      </c>
      <c r="H837" t="s">
        <v>19</v>
      </c>
      <c r="I837" t="s">
        <v>2648</v>
      </c>
      <c r="J837" t="s">
        <v>31</v>
      </c>
    </row>
    <row r="838" spans="1:10" x14ac:dyDescent="0.3">
      <c r="A838">
        <v>1085</v>
      </c>
      <c r="B838" t="s">
        <v>2649</v>
      </c>
      <c r="C838">
        <v>85</v>
      </c>
      <c r="D838" t="s">
        <v>41</v>
      </c>
      <c r="E838" s="1">
        <v>45906</v>
      </c>
      <c r="F838" t="s">
        <v>2315</v>
      </c>
      <c r="G838" t="s">
        <v>2650</v>
      </c>
      <c r="H838" t="s">
        <v>25</v>
      </c>
      <c r="I838" t="s">
        <v>2651</v>
      </c>
      <c r="J838" t="s">
        <v>21</v>
      </c>
    </row>
    <row r="839" spans="1:10" x14ac:dyDescent="0.3">
      <c r="A839">
        <v>1025</v>
      </c>
      <c r="B839" t="s">
        <v>2652</v>
      </c>
      <c r="C839">
        <v>42</v>
      </c>
      <c r="E839" s="2">
        <v>45921</v>
      </c>
      <c r="F839" s="2">
        <v>45631</v>
      </c>
      <c r="G839" t="s">
        <v>2653</v>
      </c>
      <c r="H839" t="s">
        <v>19</v>
      </c>
      <c r="I839" t="s">
        <v>2654</v>
      </c>
      <c r="J839" t="s">
        <v>31</v>
      </c>
    </row>
    <row r="840" spans="1:10" x14ac:dyDescent="0.3">
      <c r="A840">
        <v>1029</v>
      </c>
      <c r="B840" t="s">
        <v>2655</v>
      </c>
      <c r="C840">
        <v>63</v>
      </c>
      <c r="D840">
        <v>1</v>
      </c>
      <c r="E840" s="1">
        <v>45882</v>
      </c>
      <c r="F840" s="2">
        <v>45538</v>
      </c>
      <c r="G840" t="s">
        <v>2656</v>
      </c>
      <c r="H840" t="s">
        <v>19</v>
      </c>
      <c r="I840" t="s">
        <v>2657</v>
      </c>
      <c r="J840" t="s">
        <v>31</v>
      </c>
    </row>
    <row r="841" spans="1:10" x14ac:dyDescent="0.3">
      <c r="A841">
        <v>1052</v>
      </c>
      <c r="B841" t="s">
        <v>2658</v>
      </c>
      <c r="C841">
        <v>26</v>
      </c>
      <c r="D841">
        <v>0</v>
      </c>
      <c r="E841" t="s">
        <v>2589</v>
      </c>
      <c r="F841" s="1">
        <v>45738</v>
      </c>
      <c r="G841" t="s">
        <v>2659</v>
      </c>
      <c r="H841" t="s">
        <v>25</v>
      </c>
      <c r="I841" t="s">
        <v>2660</v>
      </c>
      <c r="J841" t="s">
        <v>21</v>
      </c>
    </row>
    <row r="842" spans="1:10" x14ac:dyDescent="0.3">
      <c r="A842">
        <v>1062</v>
      </c>
      <c r="B842" t="s">
        <v>2661</v>
      </c>
      <c r="C842">
        <v>85</v>
      </c>
      <c r="D842" t="s">
        <v>11</v>
      </c>
      <c r="E842" s="1">
        <v>46057</v>
      </c>
      <c r="F842" s="1">
        <v>45648</v>
      </c>
      <c r="G842" t="s">
        <v>2662</v>
      </c>
      <c r="H842" t="s">
        <v>13</v>
      </c>
      <c r="I842" t="s">
        <v>2663</v>
      </c>
      <c r="J842">
        <v>1</v>
      </c>
    </row>
    <row r="843" spans="1:10" x14ac:dyDescent="0.3">
      <c r="A843">
        <v>1014</v>
      </c>
      <c r="B843" t="s">
        <v>2664</v>
      </c>
      <c r="C843">
        <v>29</v>
      </c>
      <c r="D843" t="s">
        <v>11</v>
      </c>
      <c r="E843" s="2">
        <v>45903</v>
      </c>
      <c r="F843" t="s">
        <v>1051</v>
      </c>
      <c r="G843" t="s">
        <v>2665</v>
      </c>
      <c r="H843" t="s">
        <v>29</v>
      </c>
      <c r="I843" t="s">
        <v>2666</v>
      </c>
      <c r="J843" t="s">
        <v>65</v>
      </c>
    </row>
    <row r="844" spans="1:10" x14ac:dyDescent="0.3">
      <c r="A844">
        <v>1056</v>
      </c>
      <c r="B844" t="s">
        <v>2667</v>
      </c>
      <c r="C844">
        <v>84</v>
      </c>
      <c r="D844" t="s">
        <v>11</v>
      </c>
      <c r="E844" s="2">
        <v>45803</v>
      </c>
      <c r="F844" s="2">
        <v>45596</v>
      </c>
      <c r="G844" t="s">
        <v>2668</v>
      </c>
      <c r="H844" t="s">
        <v>13</v>
      </c>
      <c r="I844" t="s">
        <v>2669</v>
      </c>
      <c r="J844" t="s">
        <v>31</v>
      </c>
    </row>
    <row r="845" spans="1:10" x14ac:dyDescent="0.3">
      <c r="A845">
        <v>1073</v>
      </c>
      <c r="B845" t="s">
        <v>2670</v>
      </c>
      <c r="C845">
        <v>18</v>
      </c>
      <c r="D845" t="s">
        <v>41</v>
      </c>
      <c r="E845" t="s">
        <v>2671</v>
      </c>
      <c r="F845" s="2">
        <v>45833</v>
      </c>
      <c r="G845" t="s">
        <v>2672</v>
      </c>
      <c r="H845" t="s">
        <v>19</v>
      </c>
      <c r="I845" t="s">
        <v>2673</v>
      </c>
      <c r="J845" t="s">
        <v>21</v>
      </c>
    </row>
    <row r="846" spans="1:10" x14ac:dyDescent="0.3">
      <c r="A846">
        <v>1009</v>
      </c>
      <c r="B846" t="s">
        <v>2674</v>
      </c>
      <c r="C846">
        <v>30</v>
      </c>
      <c r="D846" t="s">
        <v>41</v>
      </c>
      <c r="E846" s="2">
        <v>45835</v>
      </c>
      <c r="F846" s="1">
        <v>45798</v>
      </c>
      <c r="G846" t="s">
        <v>2675</v>
      </c>
      <c r="H846" t="s">
        <v>29</v>
      </c>
      <c r="I846" t="s">
        <v>2676</v>
      </c>
      <c r="J846" t="s">
        <v>39</v>
      </c>
    </row>
    <row r="847" spans="1:10" x14ac:dyDescent="0.3">
      <c r="A847">
        <v>1029</v>
      </c>
      <c r="B847" t="s">
        <v>2677</v>
      </c>
      <c r="C847">
        <v>23</v>
      </c>
      <c r="D847" t="s">
        <v>16</v>
      </c>
      <c r="E847" s="2">
        <v>46054</v>
      </c>
      <c r="F847" s="1">
        <v>45904</v>
      </c>
      <c r="G847" t="s">
        <v>2678</v>
      </c>
      <c r="H847" t="s">
        <v>19</v>
      </c>
      <c r="I847" t="s">
        <v>2679</v>
      </c>
      <c r="J847" t="s">
        <v>39</v>
      </c>
    </row>
    <row r="848" spans="1:10" x14ac:dyDescent="0.3">
      <c r="A848">
        <v>1047</v>
      </c>
      <c r="B848" t="s">
        <v>2680</v>
      </c>
      <c r="C848">
        <v>66</v>
      </c>
      <c r="D848" t="s">
        <v>76</v>
      </c>
      <c r="E848" s="1">
        <v>45890</v>
      </c>
      <c r="F848" s="1">
        <v>45418</v>
      </c>
      <c r="G848" t="s">
        <v>2681</v>
      </c>
      <c r="H848" t="s">
        <v>29</v>
      </c>
      <c r="I848" t="s">
        <v>2682</v>
      </c>
      <c r="J848">
        <v>0</v>
      </c>
    </row>
    <row r="849" spans="1:10" x14ac:dyDescent="0.3">
      <c r="A849">
        <v>1091</v>
      </c>
      <c r="B849" t="s">
        <v>2683</v>
      </c>
      <c r="C849">
        <v>25</v>
      </c>
      <c r="D849" t="s">
        <v>23</v>
      </c>
      <c r="E849" s="1">
        <v>45980</v>
      </c>
      <c r="F849" s="2">
        <v>45976</v>
      </c>
      <c r="G849" t="s">
        <v>2684</v>
      </c>
      <c r="H849" t="s">
        <v>13</v>
      </c>
      <c r="I849" t="s">
        <v>2685</v>
      </c>
      <c r="J849" t="s">
        <v>65</v>
      </c>
    </row>
    <row r="850" spans="1:10" x14ac:dyDescent="0.3">
      <c r="A850">
        <v>1026</v>
      </c>
      <c r="B850" t="s">
        <v>2686</v>
      </c>
      <c r="C850">
        <v>56</v>
      </c>
      <c r="D850" t="s">
        <v>16</v>
      </c>
      <c r="E850" s="2">
        <v>46011</v>
      </c>
      <c r="F850" s="2">
        <v>45832</v>
      </c>
      <c r="G850" t="s">
        <v>2687</v>
      </c>
      <c r="H850" t="s">
        <v>29</v>
      </c>
      <c r="I850" t="s">
        <v>2688</v>
      </c>
      <c r="J850" t="s">
        <v>65</v>
      </c>
    </row>
    <row r="851" spans="1:10" x14ac:dyDescent="0.3">
      <c r="A851">
        <v>1075</v>
      </c>
      <c r="B851" t="s">
        <v>2689</v>
      </c>
      <c r="C851">
        <v>85</v>
      </c>
      <c r="D851">
        <v>0</v>
      </c>
      <c r="E851" s="1">
        <v>46090</v>
      </c>
      <c r="F851" s="2">
        <v>45734</v>
      </c>
      <c r="G851" t="s">
        <v>2690</v>
      </c>
      <c r="H851" t="s">
        <v>25</v>
      </c>
      <c r="I851" t="s">
        <v>2691</v>
      </c>
      <c r="J851" t="s">
        <v>31</v>
      </c>
    </row>
    <row r="852" spans="1:10" x14ac:dyDescent="0.3">
      <c r="A852">
        <v>1089</v>
      </c>
      <c r="B852" t="s">
        <v>2692</v>
      </c>
      <c r="C852">
        <v>76</v>
      </c>
      <c r="D852" t="s">
        <v>41</v>
      </c>
      <c r="E852" s="2">
        <v>46102</v>
      </c>
      <c r="F852" s="2">
        <v>45555</v>
      </c>
      <c r="G852" t="s">
        <v>2693</v>
      </c>
      <c r="H852" t="s">
        <v>25</v>
      </c>
      <c r="I852" t="s">
        <v>2694</v>
      </c>
      <c r="J852" t="s">
        <v>21</v>
      </c>
    </row>
    <row r="853" spans="1:10" x14ac:dyDescent="0.3">
      <c r="A853">
        <v>1031</v>
      </c>
      <c r="B853" t="s">
        <v>2695</v>
      </c>
      <c r="C853">
        <v>43</v>
      </c>
      <c r="D853" t="s">
        <v>23</v>
      </c>
      <c r="E853" s="2">
        <v>45896</v>
      </c>
      <c r="F853" s="2">
        <v>45423</v>
      </c>
      <c r="G853" t="s">
        <v>2696</v>
      </c>
      <c r="H853" t="s">
        <v>25</v>
      </c>
      <c r="I853" t="s">
        <v>2697</v>
      </c>
      <c r="J853">
        <v>1</v>
      </c>
    </row>
    <row r="854" spans="1:10" x14ac:dyDescent="0.3">
      <c r="A854">
        <v>1082</v>
      </c>
      <c r="B854" t="s">
        <v>2698</v>
      </c>
      <c r="C854">
        <v>51</v>
      </c>
      <c r="D854" t="s">
        <v>76</v>
      </c>
      <c r="E854" s="1">
        <v>45697</v>
      </c>
      <c r="F854" s="2">
        <v>45884</v>
      </c>
      <c r="G854" t="s">
        <v>2699</v>
      </c>
      <c r="H854" t="s">
        <v>19</v>
      </c>
      <c r="I854" t="s">
        <v>2700</v>
      </c>
      <c r="J854" t="s">
        <v>65</v>
      </c>
    </row>
    <row r="855" spans="1:10" x14ac:dyDescent="0.3">
      <c r="A855">
        <v>1022</v>
      </c>
      <c r="B855" t="s">
        <v>2701</v>
      </c>
      <c r="C855">
        <v>89</v>
      </c>
      <c r="D855">
        <v>0</v>
      </c>
      <c r="E855" s="2">
        <v>46055</v>
      </c>
      <c r="F855" s="2">
        <v>45665</v>
      </c>
      <c r="G855" t="s">
        <v>2702</v>
      </c>
      <c r="H855" t="s">
        <v>25</v>
      </c>
      <c r="I855" t="s">
        <v>2703</v>
      </c>
      <c r="J855">
        <v>1</v>
      </c>
    </row>
    <row r="856" spans="1:10" x14ac:dyDescent="0.3">
      <c r="A856">
        <v>1063</v>
      </c>
      <c r="B856" t="s">
        <v>2704</v>
      </c>
      <c r="C856">
        <v>48</v>
      </c>
      <c r="D856" t="s">
        <v>16</v>
      </c>
      <c r="E856" s="1">
        <v>46045</v>
      </c>
      <c r="F856" s="1">
        <v>45943</v>
      </c>
      <c r="G856" t="s">
        <v>2705</v>
      </c>
      <c r="H856" t="s">
        <v>19</v>
      </c>
      <c r="I856" t="s">
        <v>2706</v>
      </c>
      <c r="J856" t="s">
        <v>31</v>
      </c>
    </row>
    <row r="857" spans="1:10" x14ac:dyDescent="0.3">
      <c r="A857">
        <v>1009</v>
      </c>
      <c r="B857" t="s">
        <v>2707</v>
      </c>
      <c r="C857">
        <v>37</v>
      </c>
      <c r="D857" t="s">
        <v>23</v>
      </c>
      <c r="E857" s="1">
        <v>45861</v>
      </c>
      <c r="F857" s="2">
        <v>45730</v>
      </c>
      <c r="G857" t="s">
        <v>2708</v>
      </c>
      <c r="H857" t="s">
        <v>13</v>
      </c>
      <c r="I857" t="s">
        <v>2709</v>
      </c>
      <c r="J857" t="s">
        <v>31</v>
      </c>
    </row>
    <row r="858" spans="1:10" x14ac:dyDescent="0.3">
      <c r="A858">
        <v>1079</v>
      </c>
      <c r="B858" t="s">
        <v>2710</v>
      </c>
      <c r="C858">
        <v>64</v>
      </c>
      <c r="D858">
        <v>1</v>
      </c>
      <c r="E858" s="2">
        <v>45871</v>
      </c>
      <c r="F858" t="s">
        <v>1586</v>
      </c>
      <c r="G858" t="s">
        <v>2711</v>
      </c>
      <c r="H858" t="s">
        <v>25</v>
      </c>
      <c r="I858" t="s">
        <v>2712</v>
      </c>
      <c r="J858" t="s">
        <v>39</v>
      </c>
    </row>
    <row r="859" spans="1:10" x14ac:dyDescent="0.3">
      <c r="A859">
        <v>1001</v>
      </c>
      <c r="B859" t="s">
        <v>2713</v>
      </c>
      <c r="C859">
        <v>25</v>
      </c>
      <c r="D859" t="s">
        <v>16</v>
      </c>
      <c r="E859" s="2">
        <v>46062</v>
      </c>
      <c r="F859" s="2">
        <v>45676</v>
      </c>
      <c r="G859" t="s">
        <v>2714</v>
      </c>
      <c r="H859" t="s">
        <v>19</v>
      </c>
      <c r="I859" t="s">
        <v>2715</v>
      </c>
      <c r="J859">
        <v>1</v>
      </c>
    </row>
    <row r="860" spans="1:10" x14ac:dyDescent="0.3">
      <c r="A860">
        <v>1022</v>
      </c>
      <c r="B860" t="s">
        <v>2716</v>
      </c>
      <c r="C860">
        <v>78</v>
      </c>
      <c r="D860" t="s">
        <v>56</v>
      </c>
      <c r="E860" s="2">
        <v>45939</v>
      </c>
      <c r="F860" s="1">
        <v>45832</v>
      </c>
      <c r="G860" t="s">
        <v>2717</v>
      </c>
      <c r="H860" t="s">
        <v>29</v>
      </c>
      <c r="I860" t="s">
        <v>2718</v>
      </c>
      <c r="J860" t="s">
        <v>21</v>
      </c>
    </row>
    <row r="861" spans="1:10" x14ac:dyDescent="0.3">
      <c r="A861">
        <v>1008</v>
      </c>
      <c r="B861" t="s">
        <v>2719</v>
      </c>
      <c r="C861">
        <v>77</v>
      </c>
      <c r="D861" t="s">
        <v>41</v>
      </c>
      <c r="E861" s="2">
        <v>46029</v>
      </c>
      <c r="F861" s="2">
        <v>45472</v>
      </c>
      <c r="G861" t="s">
        <v>2720</v>
      </c>
      <c r="H861" t="s">
        <v>13</v>
      </c>
      <c r="I861" t="s">
        <v>2721</v>
      </c>
      <c r="J861" t="s">
        <v>21</v>
      </c>
    </row>
    <row r="862" spans="1:10" x14ac:dyDescent="0.3">
      <c r="A862">
        <v>1100</v>
      </c>
      <c r="B862" t="s">
        <v>2722</v>
      </c>
      <c r="C862">
        <v>46</v>
      </c>
      <c r="D862" t="s">
        <v>56</v>
      </c>
      <c r="E862" s="1">
        <v>46054</v>
      </c>
      <c r="F862" t="s">
        <v>2723</v>
      </c>
      <c r="G862" t="s">
        <v>2724</v>
      </c>
      <c r="H862" t="s">
        <v>13</v>
      </c>
      <c r="I862" t="s">
        <v>2725</v>
      </c>
      <c r="J862" t="s">
        <v>21</v>
      </c>
    </row>
    <row r="863" spans="1:10" x14ac:dyDescent="0.3">
      <c r="A863">
        <v>1074</v>
      </c>
      <c r="B863" t="s">
        <v>2726</v>
      </c>
      <c r="C863">
        <v>90</v>
      </c>
      <c r="D863" t="s">
        <v>16</v>
      </c>
      <c r="E863" s="2">
        <v>45966</v>
      </c>
      <c r="F863" s="2">
        <v>45449</v>
      </c>
      <c r="G863" t="s">
        <v>2727</v>
      </c>
      <c r="H863" t="s">
        <v>29</v>
      </c>
      <c r="I863" t="s">
        <v>2728</v>
      </c>
      <c r="J863">
        <v>0</v>
      </c>
    </row>
    <row r="864" spans="1:10" x14ac:dyDescent="0.3">
      <c r="A864">
        <v>1037</v>
      </c>
      <c r="B864" t="s">
        <v>2729</v>
      </c>
      <c r="C864">
        <v>26</v>
      </c>
      <c r="D864">
        <v>1</v>
      </c>
      <c r="E864" s="1">
        <v>46039</v>
      </c>
      <c r="F864" s="2">
        <v>45471</v>
      </c>
      <c r="G864" t="s">
        <v>2730</v>
      </c>
      <c r="H864" t="s">
        <v>29</v>
      </c>
      <c r="I864" t="s">
        <v>2731</v>
      </c>
      <c r="J864">
        <v>0</v>
      </c>
    </row>
    <row r="865" spans="1:10" x14ac:dyDescent="0.3">
      <c r="A865">
        <v>1094</v>
      </c>
      <c r="B865" t="s">
        <v>2732</v>
      </c>
      <c r="C865">
        <v>22</v>
      </c>
      <c r="D865" t="s">
        <v>16</v>
      </c>
      <c r="E865" s="2">
        <v>46097</v>
      </c>
      <c r="F865" s="2">
        <v>45622</v>
      </c>
      <c r="G865" t="s">
        <v>2733</v>
      </c>
      <c r="H865" t="s">
        <v>19</v>
      </c>
      <c r="I865" t="s">
        <v>2734</v>
      </c>
      <c r="J865">
        <v>1</v>
      </c>
    </row>
    <row r="866" spans="1:10" x14ac:dyDescent="0.3">
      <c r="A866">
        <v>1066</v>
      </c>
      <c r="B866" t="s">
        <v>2735</v>
      </c>
      <c r="C866">
        <v>36</v>
      </c>
      <c r="D866">
        <v>0</v>
      </c>
      <c r="E866" s="1">
        <v>46033</v>
      </c>
      <c r="F866" t="s">
        <v>2736</v>
      </c>
      <c r="G866" t="s">
        <v>2737</v>
      </c>
      <c r="H866" t="s">
        <v>13</v>
      </c>
      <c r="I866" t="s">
        <v>2738</v>
      </c>
      <c r="J866" t="s">
        <v>65</v>
      </c>
    </row>
    <row r="867" spans="1:10" x14ac:dyDescent="0.3">
      <c r="A867">
        <v>1084</v>
      </c>
      <c r="B867" t="s">
        <v>2739</v>
      </c>
      <c r="C867">
        <v>83</v>
      </c>
      <c r="D867" t="s">
        <v>41</v>
      </c>
      <c r="E867" s="2">
        <v>45865</v>
      </c>
      <c r="F867" s="2">
        <v>45744</v>
      </c>
      <c r="G867" t="s">
        <v>2740</v>
      </c>
      <c r="H867" t="s">
        <v>19</v>
      </c>
      <c r="I867" t="s">
        <v>2741</v>
      </c>
      <c r="J867" t="s">
        <v>31</v>
      </c>
    </row>
    <row r="868" spans="1:10" x14ac:dyDescent="0.3">
      <c r="A868">
        <v>1008</v>
      </c>
      <c r="B868" t="s">
        <v>2742</v>
      </c>
      <c r="C868">
        <v>44</v>
      </c>
      <c r="D868" t="s">
        <v>16</v>
      </c>
      <c r="E868" s="1">
        <v>45937</v>
      </c>
      <c r="F868" t="s">
        <v>2743</v>
      </c>
      <c r="G868" t="s">
        <v>2744</v>
      </c>
      <c r="H868" t="s">
        <v>25</v>
      </c>
      <c r="I868" t="s">
        <v>2745</v>
      </c>
      <c r="J868">
        <v>0</v>
      </c>
    </row>
    <row r="869" spans="1:10" x14ac:dyDescent="0.3">
      <c r="A869">
        <v>1039</v>
      </c>
      <c r="B869" t="s">
        <v>2746</v>
      </c>
      <c r="C869">
        <v>69</v>
      </c>
      <c r="D869" t="s">
        <v>11</v>
      </c>
      <c r="E869" s="1">
        <v>46057</v>
      </c>
      <c r="F869" s="1">
        <v>45582</v>
      </c>
      <c r="G869" t="s">
        <v>2747</v>
      </c>
      <c r="H869" t="s">
        <v>13</v>
      </c>
      <c r="I869" t="s">
        <v>2748</v>
      </c>
      <c r="J869" t="s">
        <v>21</v>
      </c>
    </row>
    <row r="870" spans="1:10" x14ac:dyDescent="0.3">
      <c r="A870">
        <v>1092</v>
      </c>
      <c r="B870" t="s">
        <v>2749</v>
      </c>
      <c r="C870">
        <v>58</v>
      </c>
      <c r="D870" t="s">
        <v>23</v>
      </c>
      <c r="E870" s="2">
        <v>45843</v>
      </c>
      <c r="F870" s="2">
        <v>45793</v>
      </c>
      <c r="G870" t="s">
        <v>2750</v>
      </c>
      <c r="H870" t="s">
        <v>29</v>
      </c>
      <c r="I870" t="s">
        <v>2751</v>
      </c>
      <c r="J870" t="s">
        <v>21</v>
      </c>
    </row>
    <row r="871" spans="1:10" x14ac:dyDescent="0.3">
      <c r="A871">
        <v>1023</v>
      </c>
      <c r="B871" t="s">
        <v>2752</v>
      </c>
      <c r="C871">
        <v>76</v>
      </c>
      <c r="D871">
        <v>1</v>
      </c>
      <c r="E871" s="1">
        <v>45888</v>
      </c>
      <c r="F871" s="1">
        <v>45884</v>
      </c>
      <c r="G871" t="s">
        <v>2753</v>
      </c>
      <c r="H871" t="s">
        <v>29</v>
      </c>
      <c r="I871" t="s">
        <v>2754</v>
      </c>
      <c r="J871">
        <v>1</v>
      </c>
    </row>
    <row r="872" spans="1:10" x14ac:dyDescent="0.3">
      <c r="A872">
        <v>1004</v>
      </c>
      <c r="B872" t="s">
        <v>2755</v>
      </c>
      <c r="C872">
        <v>67</v>
      </c>
      <c r="D872">
        <v>1</v>
      </c>
      <c r="E872" s="2">
        <v>45981</v>
      </c>
      <c r="F872" s="1">
        <v>45696</v>
      </c>
      <c r="G872" t="s">
        <v>2756</v>
      </c>
      <c r="H872" t="s">
        <v>25</v>
      </c>
      <c r="I872" t="s">
        <v>2757</v>
      </c>
      <c r="J872" t="s">
        <v>39</v>
      </c>
    </row>
    <row r="873" spans="1:10" x14ac:dyDescent="0.3">
      <c r="A873">
        <v>1056</v>
      </c>
      <c r="B873" t="s">
        <v>2758</v>
      </c>
      <c r="C873">
        <v>30</v>
      </c>
      <c r="E873" t="s">
        <v>1754</v>
      </c>
      <c r="F873" s="2">
        <v>45443</v>
      </c>
      <c r="G873" t="s">
        <v>2759</v>
      </c>
      <c r="H873" t="s">
        <v>19</v>
      </c>
      <c r="I873" t="s">
        <v>2760</v>
      </c>
      <c r="J873" t="s">
        <v>39</v>
      </c>
    </row>
    <row r="874" spans="1:10" x14ac:dyDescent="0.3">
      <c r="A874">
        <v>1077</v>
      </c>
      <c r="B874" t="s">
        <v>2761</v>
      </c>
      <c r="C874">
        <v>78</v>
      </c>
      <c r="D874" t="s">
        <v>23</v>
      </c>
      <c r="E874" s="2">
        <v>45970</v>
      </c>
      <c r="F874" s="2">
        <v>45852</v>
      </c>
      <c r="G874" t="s">
        <v>2762</v>
      </c>
      <c r="H874" t="s">
        <v>19</v>
      </c>
      <c r="I874" t="s">
        <v>2763</v>
      </c>
      <c r="J874" t="s">
        <v>39</v>
      </c>
    </row>
    <row r="875" spans="1:10" x14ac:dyDescent="0.3">
      <c r="A875">
        <v>1081</v>
      </c>
      <c r="B875" t="s">
        <v>2577</v>
      </c>
      <c r="C875">
        <v>45</v>
      </c>
      <c r="D875" t="s">
        <v>23</v>
      </c>
      <c r="E875" s="2">
        <v>46102</v>
      </c>
      <c r="F875" s="2">
        <v>45416</v>
      </c>
      <c r="G875" t="s">
        <v>2764</v>
      </c>
      <c r="H875" t="s">
        <v>29</v>
      </c>
      <c r="I875" t="s">
        <v>2765</v>
      </c>
      <c r="J875" t="s">
        <v>21</v>
      </c>
    </row>
    <row r="876" spans="1:10" x14ac:dyDescent="0.3">
      <c r="A876">
        <v>1078</v>
      </c>
      <c r="B876" t="s">
        <v>2766</v>
      </c>
      <c r="C876">
        <v>25</v>
      </c>
      <c r="D876" t="s">
        <v>41</v>
      </c>
      <c r="E876" s="2">
        <v>45977</v>
      </c>
      <c r="F876" t="s">
        <v>2767</v>
      </c>
      <c r="G876" t="s">
        <v>2768</v>
      </c>
      <c r="H876" t="s">
        <v>13</v>
      </c>
      <c r="I876" t="s">
        <v>2769</v>
      </c>
      <c r="J876" t="s">
        <v>31</v>
      </c>
    </row>
    <row r="877" spans="1:10" x14ac:dyDescent="0.3">
      <c r="A877">
        <v>1054</v>
      </c>
      <c r="B877" t="s">
        <v>2770</v>
      </c>
      <c r="C877">
        <v>50</v>
      </c>
      <c r="D877" t="s">
        <v>41</v>
      </c>
      <c r="E877" s="1">
        <v>45813</v>
      </c>
      <c r="F877" s="2">
        <v>45645</v>
      </c>
      <c r="G877" t="s">
        <v>2771</v>
      </c>
      <c r="H877" t="s">
        <v>29</v>
      </c>
      <c r="I877" t="s">
        <v>2772</v>
      </c>
      <c r="J877" t="s">
        <v>31</v>
      </c>
    </row>
    <row r="878" spans="1:10" x14ac:dyDescent="0.3">
      <c r="A878">
        <v>1085</v>
      </c>
      <c r="B878" t="s">
        <v>2773</v>
      </c>
      <c r="C878">
        <v>85</v>
      </c>
      <c r="D878" t="s">
        <v>76</v>
      </c>
      <c r="E878" s="1">
        <v>46031</v>
      </c>
      <c r="F878" s="2">
        <v>45780</v>
      </c>
      <c r="G878" t="s">
        <v>2774</v>
      </c>
      <c r="H878" t="s">
        <v>13</v>
      </c>
      <c r="I878" t="s">
        <v>2775</v>
      </c>
      <c r="J878" t="s">
        <v>31</v>
      </c>
    </row>
    <row r="879" spans="1:10" x14ac:dyDescent="0.3">
      <c r="A879">
        <v>1028</v>
      </c>
      <c r="B879" t="s">
        <v>2776</v>
      </c>
      <c r="C879">
        <v>22</v>
      </c>
      <c r="D879">
        <v>1</v>
      </c>
      <c r="E879" t="s">
        <v>2777</v>
      </c>
      <c r="F879" s="2">
        <v>45875</v>
      </c>
      <c r="G879" t="s">
        <v>2778</v>
      </c>
      <c r="H879" t="s">
        <v>19</v>
      </c>
      <c r="I879" t="s">
        <v>2779</v>
      </c>
      <c r="J879" t="s">
        <v>31</v>
      </c>
    </row>
    <row r="880" spans="1:10" x14ac:dyDescent="0.3">
      <c r="A880">
        <v>1048</v>
      </c>
      <c r="B880" t="s">
        <v>2780</v>
      </c>
      <c r="C880">
        <v>89</v>
      </c>
      <c r="D880">
        <v>0</v>
      </c>
      <c r="E880" t="s">
        <v>1443</v>
      </c>
      <c r="F880" s="2">
        <v>45455</v>
      </c>
      <c r="G880" t="s">
        <v>2781</v>
      </c>
      <c r="H880" t="s">
        <v>25</v>
      </c>
      <c r="I880" t="s">
        <v>2782</v>
      </c>
      <c r="J880" t="s">
        <v>31</v>
      </c>
    </row>
    <row r="881" spans="1:10" x14ac:dyDescent="0.3">
      <c r="A881">
        <v>1008</v>
      </c>
      <c r="B881" t="s">
        <v>2783</v>
      </c>
      <c r="C881">
        <v>34</v>
      </c>
      <c r="D881" t="s">
        <v>41</v>
      </c>
      <c r="E881" s="2">
        <v>45940</v>
      </c>
      <c r="F881" s="2">
        <v>45779</v>
      </c>
      <c r="G881" t="s">
        <v>2784</v>
      </c>
      <c r="H881" t="s">
        <v>25</v>
      </c>
      <c r="I881" t="s">
        <v>2785</v>
      </c>
      <c r="J881">
        <v>0</v>
      </c>
    </row>
    <row r="882" spans="1:10" x14ac:dyDescent="0.3">
      <c r="A882">
        <v>1002</v>
      </c>
      <c r="B882" t="s">
        <v>2786</v>
      </c>
      <c r="C882">
        <v>22</v>
      </c>
      <c r="D882" t="s">
        <v>23</v>
      </c>
      <c r="E882" s="2">
        <v>45886</v>
      </c>
      <c r="F882" s="2">
        <v>45662</v>
      </c>
      <c r="G882" t="s">
        <v>2787</v>
      </c>
      <c r="H882" t="s">
        <v>19</v>
      </c>
      <c r="I882" t="s">
        <v>2788</v>
      </c>
      <c r="J882">
        <v>0</v>
      </c>
    </row>
    <row r="883" spans="1:10" x14ac:dyDescent="0.3">
      <c r="A883">
        <v>1013</v>
      </c>
      <c r="B883" t="s">
        <v>2789</v>
      </c>
      <c r="C883">
        <v>24</v>
      </c>
      <c r="E883" s="2">
        <v>45757</v>
      </c>
      <c r="F883" t="s">
        <v>2790</v>
      </c>
      <c r="G883" t="s">
        <v>2791</v>
      </c>
      <c r="H883" t="s">
        <v>19</v>
      </c>
      <c r="I883" t="s">
        <v>2792</v>
      </c>
      <c r="J883" t="s">
        <v>31</v>
      </c>
    </row>
    <row r="884" spans="1:10" x14ac:dyDescent="0.3">
      <c r="A884">
        <v>1032</v>
      </c>
      <c r="B884" t="s">
        <v>2793</v>
      </c>
      <c r="C884">
        <v>21</v>
      </c>
      <c r="D884" t="s">
        <v>76</v>
      </c>
      <c r="E884" s="2">
        <v>46061</v>
      </c>
      <c r="F884" t="s">
        <v>827</v>
      </c>
      <c r="G884" t="s">
        <v>2259</v>
      </c>
      <c r="H884" t="s">
        <v>29</v>
      </c>
      <c r="I884" t="s">
        <v>2794</v>
      </c>
      <c r="J884" t="s">
        <v>65</v>
      </c>
    </row>
    <row r="885" spans="1:10" x14ac:dyDescent="0.3">
      <c r="A885">
        <v>1074</v>
      </c>
      <c r="B885" t="s">
        <v>2795</v>
      </c>
      <c r="C885">
        <v>23</v>
      </c>
      <c r="D885" t="s">
        <v>56</v>
      </c>
      <c r="E885" t="s">
        <v>1702</v>
      </c>
      <c r="F885" s="1">
        <v>45674</v>
      </c>
      <c r="G885" t="s">
        <v>2796</v>
      </c>
      <c r="H885" t="s">
        <v>25</v>
      </c>
      <c r="I885" t="s">
        <v>2797</v>
      </c>
      <c r="J885" t="s">
        <v>39</v>
      </c>
    </row>
    <row r="886" spans="1:10" x14ac:dyDescent="0.3">
      <c r="A886">
        <v>1025</v>
      </c>
      <c r="B886" t="s">
        <v>2798</v>
      </c>
      <c r="C886">
        <v>52</v>
      </c>
      <c r="D886">
        <v>0</v>
      </c>
      <c r="E886" s="1">
        <v>45783</v>
      </c>
      <c r="F886" s="2">
        <v>45602</v>
      </c>
      <c r="G886" t="s">
        <v>2799</v>
      </c>
      <c r="H886" t="s">
        <v>19</v>
      </c>
      <c r="I886" t="s">
        <v>2800</v>
      </c>
      <c r="J886" t="s">
        <v>65</v>
      </c>
    </row>
    <row r="887" spans="1:10" x14ac:dyDescent="0.3">
      <c r="A887">
        <v>1040</v>
      </c>
      <c r="B887" t="s">
        <v>2801</v>
      </c>
      <c r="C887">
        <v>36</v>
      </c>
      <c r="E887" s="2">
        <v>45804</v>
      </c>
      <c r="F887" s="1">
        <v>45628</v>
      </c>
      <c r="G887" t="s">
        <v>2802</v>
      </c>
      <c r="H887" t="s">
        <v>19</v>
      </c>
      <c r="I887" t="s">
        <v>2803</v>
      </c>
      <c r="J887" t="s">
        <v>31</v>
      </c>
    </row>
    <row r="888" spans="1:10" x14ac:dyDescent="0.3">
      <c r="A888">
        <v>1089</v>
      </c>
      <c r="B888" t="s">
        <v>2804</v>
      </c>
      <c r="C888">
        <v>20</v>
      </c>
      <c r="D888">
        <v>1</v>
      </c>
      <c r="E888" s="1">
        <v>45726</v>
      </c>
      <c r="F888" s="2">
        <v>45868</v>
      </c>
      <c r="G888" t="s">
        <v>2805</v>
      </c>
      <c r="H888" t="s">
        <v>25</v>
      </c>
      <c r="I888" t="s">
        <v>2806</v>
      </c>
      <c r="J888">
        <v>0</v>
      </c>
    </row>
    <row r="889" spans="1:10" x14ac:dyDescent="0.3">
      <c r="A889">
        <v>1069</v>
      </c>
      <c r="B889" t="s">
        <v>2807</v>
      </c>
      <c r="C889">
        <v>32</v>
      </c>
      <c r="D889">
        <v>0</v>
      </c>
      <c r="E889" s="2">
        <v>46076</v>
      </c>
      <c r="F889" s="2">
        <v>45671</v>
      </c>
      <c r="G889" t="s">
        <v>2808</v>
      </c>
      <c r="H889" t="s">
        <v>29</v>
      </c>
      <c r="I889" t="s">
        <v>2809</v>
      </c>
      <c r="J889">
        <v>1</v>
      </c>
    </row>
    <row r="890" spans="1:10" x14ac:dyDescent="0.3">
      <c r="A890">
        <v>1070</v>
      </c>
      <c r="B890" t="s">
        <v>2810</v>
      </c>
      <c r="C890">
        <v>38</v>
      </c>
      <c r="D890">
        <v>1</v>
      </c>
      <c r="E890" s="1">
        <v>45844</v>
      </c>
      <c r="F890" s="1">
        <v>45770</v>
      </c>
      <c r="G890" t="s">
        <v>2811</v>
      </c>
      <c r="H890" t="s">
        <v>25</v>
      </c>
      <c r="I890" t="s">
        <v>2812</v>
      </c>
      <c r="J890" t="s">
        <v>21</v>
      </c>
    </row>
    <row r="891" spans="1:10" x14ac:dyDescent="0.3">
      <c r="A891">
        <v>1070</v>
      </c>
      <c r="B891" t="s">
        <v>2813</v>
      </c>
      <c r="C891">
        <v>53</v>
      </c>
      <c r="E891" t="s">
        <v>361</v>
      </c>
      <c r="F891" s="2">
        <v>45727</v>
      </c>
      <c r="G891" t="s">
        <v>2814</v>
      </c>
      <c r="H891" t="s">
        <v>25</v>
      </c>
      <c r="I891" t="s">
        <v>2815</v>
      </c>
      <c r="J891" t="s">
        <v>39</v>
      </c>
    </row>
    <row r="892" spans="1:10" x14ac:dyDescent="0.3">
      <c r="A892">
        <v>1077</v>
      </c>
      <c r="B892" t="s">
        <v>2816</v>
      </c>
      <c r="C892">
        <v>58</v>
      </c>
      <c r="D892" t="s">
        <v>16</v>
      </c>
      <c r="E892" t="s">
        <v>2817</v>
      </c>
      <c r="F892" s="1">
        <v>45954</v>
      </c>
      <c r="G892" t="s">
        <v>2818</v>
      </c>
      <c r="H892" t="s">
        <v>25</v>
      </c>
      <c r="I892" t="s">
        <v>2819</v>
      </c>
      <c r="J892" t="s">
        <v>31</v>
      </c>
    </row>
    <row r="893" spans="1:10" x14ac:dyDescent="0.3">
      <c r="A893">
        <v>1082</v>
      </c>
      <c r="B893" t="s">
        <v>2820</v>
      </c>
      <c r="C893">
        <v>61</v>
      </c>
      <c r="D893" t="s">
        <v>23</v>
      </c>
      <c r="E893" s="1">
        <v>45966</v>
      </c>
      <c r="F893" s="1">
        <v>45920</v>
      </c>
      <c r="G893" t="s">
        <v>1106</v>
      </c>
      <c r="H893" t="s">
        <v>13</v>
      </c>
      <c r="I893" t="s">
        <v>2821</v>
      </c>
      <c r="J893">
        <v>0</v>
      </c>
    </row>
    <row r="894" spans="1:10" x14ac:dyDescent="0.3">
      <c r="A894">
        <v>1053</v>
      </c>
      <c r="B894" t="s">
        <v>2822</v>
      </c>
      <c r="C894">
        <v>66</v>
      </c>
      <c r="D894">
        <v>0</v>
      </c>
      <c r="E894" t="s">
        <v>1429</v>
      </c>
      <c r="F894" t="s">
        <v>2823</v>
      </c>
      <c r="G894" t="s">
        <v>2824</v>
      </c>
      <c r="H894" t="s">
        <v>19</v>
      </c>
      <c r="I894" t="s">
        <v>2825</v>
      </c>
      <c r="J894">
        <v>0</v>
      </c>
    </row>
    <row r="895" spans="1:10" x14ac:dyDescent="0.3">
      <c r="A895">
        <v>1083</v>
      </c>
      <c r="B895" t="s">
        <v>2826</v>
      </c>
      <c r="C895">
        <v>18</v>
      </c>
      <c r="D895" t="s">
        <v>76</v>
      </c>
      <c r="E895" s="1">
        <v>45768</v>
      </c>
      <c r="F895" s="2">
        <v>45539</v>
      </c>
      <c r="G895" t="s">
        <v>2827</v>
      </c>
      <c r="H895" t="s">
        <v>25</v>
      </c>
      <c r="I895" t="s">
        <v>2828</v>
      </c>
      <c r="J895" t="s">
        <v>39</v>
      </c>
    </row>
    <row r="896" spans="1:10" x14ac:dyDescent="0.3">
      <c r="A896">
        <v>1096</v>
      </c>
      <c r="B896" t="s">
        <v>2829</v>
      </c>
      <c r="C896">
        <v>70</v>
      </c>
      <c r="D896">
        <v>1</v>
      </c>
      <c r="E896" s="2">
        <v>45820</v>
      </c>
      <c r="F896" s="1">
        <v>45623</v>
      </c>
      <c r="G896" t="s">
        <v>2830</v>
      </c>
      <c r="H896" t="s">
        <v>25</v>
      </c>
      <c r="I896" t="s">
        <v>2831</v>
      </c>
      <c r="J896" t="s">
        <v>39</v>
      </c>
    </row>
    <row r="897" spans="1:10" x14ac:dyDescent="0.3">
      <c r="A897">
        <v>1043</v>
      </c>
      <c r="B897" t="s">
        <v>2832</v>
      </c>
      <c r="C897">
        <v>31</v>
      </c>
      <c r="D897" t="s">
        <v>56</v>
      </c>
      <c r="E897" s="2">
        <v>45982</v>
      </c>
      <c r="F897" s="2">
        <v>45885</v>
      </c>
      <c r="G897" t="s">
        <v>2833</v>
      </c>
      <c r="H897" t="s">
        <v>25</v>
      </c>
      <c r="I897" t="s">
        <v>2834</v>
      </c>
      <c r="J897" t="s">
        <v>65</v>
      </c>
    </row>
    <row r="898" spans="1:10" x14ac:dyDescent="0.3">
      <c r="A898">
        <v>1058</v>
      </c>
      <c r="B898" t="s">
        <v>2835</v>
      </c>
      <c r="C898">
        <v>64</v>
      </c>
      <c r="D898" t="s">
        <v>76</v>
      </c>
      <c r="E898" s="1">
        <v>45761</v>
      </c>
      <c r="F898" s="1">
        <v>45749</v>
      </c>
      <c r="G898" t="s">
        <v>2836</v>
      </c>
      <c r="H898" t="s">
        <v>25</v>
      </c>
      <c r="I898" t="s">
        <v>2837</v>
      </c>
      <c r="J898">
        <v>1</v>
      </c>
    </row>
    <row r="899" spans="1:10" x14ac:dyDescent="0.3">
      <c r="A899">
        <v>1080</v>
      </c>
      <c r="B899" t="s">
        <v>2838</v>
      </c>
      <c r="C899">
        <v>21</v>
      </c>
      <c r="D899" t="s">
        <v>56</v>
      </c>
      <c r="E899" s="2">
        <v>45774</v>
      </c>
      <c r="F899" s="1">
        <v>45729</v>
      </c>
      <c r="G899" t="s">
        <v>2839</v>
      </c>
      <c r="H899" t="s">
        <v>25</v>
      </c>
      <c r="I899" t="s">
        <v>2840</v>
      </c>
      <c r="J899" t="s">
        <v>39</v>
      </c>
    </row>
    <row r="900" spans="1:10" x14ac:dyDescent="0.3">
      <c r="A900">
        <v>1097</v>
      </c>
      <c r="B900" t="s">
        <v>2841</v>
      </c>
      <c r="C900">
        <v>51</v>
      </c>
      <c r="D900" t="s">
        <v>11</v>
      </c>
      <c r="E900" s="1">
        <v>45911</v>
      </c>
      <c r="F900" s="2">
        <v>45456</v>
      </c>
      <c r="G900" t="s">
        <v>2842</v>
      </c>
      <c r="H900" t="s">
        <v>29</v>
      </c>
      <c r="I900" t="s">
        <v>2843</v>
      </c>
      <c r="J900" t="s">
        <v>31</v>
      </c>
    </row>
    <row r="901" spans="1:10" x14ac:dyDescent="0.3">
      <c r="A901">
        <v>1054</v>
      </c>
      <c r="B901" t="s">
        <v>2844</v>
      </c>
      <c r="C901">
        <v>29</v>
      </c>
      <c r="D901" t="s">
        <v>23</v>
      </c>
      <c r="E901" s="2">
        <v>45794</v>
      </c>
      <c r="F901" s="1">
        <v>45571</v>
      </c>
      <c r="G901" t="s">
        <v>2845</v>
      </c>
      <c r="H901" t="s">
        <v>25</v>
      </c>
      <c r="I901" t="s">
        <v>2846</v>
      </c>
      <c r="J901" t="s">
        <v>65</v>
      </c>
    </row>
    <row r="902" spans="1:10" x14ac:dyDescent="0.3">
      <c r="A902">
        <v>1075</v>
      </c>
      <c r="B902" t="s">
        <v>2847</v>
      </c>
      <c r="C902">
        <v>51</v>
      </c>
      <c r="D902" t="s">
        <v>76</v>
      </c>
      <c r="E902" s="1">
        <v>45973</v>
      </c>
      <c r="F902" t="s">
        <v>798</v>
      </c>
      <c r="G902" t="s">
        <v>2848</v>
      </c>
      <c r="H902" t="s">
        <v>25</v>
      </c>
      <c r="I902" t="s">
        <v>2849</v>
      </c>
      <c r="J902" t="s">
        <v>31</v>
      </c>
    </row>
    <row r="903" spans="1:10" x14ac:dyDescent="0.3">
      <c r="A903">
        <v>1036</v>
      </c>
      <c r="B903" t="s">
        <v>2850</v>
      </c>
      <c r="C903">
        <v>82</v>
      </c>
      <c r="D903" t="s">
        <v>56</v>
      </c>
      <c r="E903" s="1">
        <v>45881</v>
      </c>
      <c r="F903" s="2">
        <v>45389</v>
      </c>
      <c r="G903" t="s">
        <v>2851</v>
      </c>
      <c r="H903" t="s">
        <v>29</v>
      </c>
      <c r="I903" t="s">
        <v>2852</v>
      </c>
      <c r="J903" t="s">
        <v>21</v>
      </c>
    </row>
    <row r="904" spans="1:10" x14ac:dyDescent="0.3">
      <c r="A904">
        <v>1064</v>
      </c>
      <c r="B904" t="s">
        <v>2853</v>
      </c>
      <c r="C904">
        <v>78</v>
      </c>
      <c r="D904" t="s">
        <v>11</v>
      </c>
      <c r="E904" s="2">
        <v>46036</v>
      </c>
      <c r="F904" s="1">
        <v>45784</v>
      </c>
      <c r="G904" t="s">
        <v>2854</v>
      </c>
      <c r="H904" t="s">
        <v>19</v>
      </c>
      <c r="I904" t="s">
        <v>2855</v>
      </c>
      <c r="J904" t="s">
        <v>31</v>
      </c>
    </row>
    <row r="905" spans="1:10" x14ac:dyDescent="0.3">
      <c r="A905">
        <v>1015</v>
      </c>
      <c r="B905" t="s">
        <v>2856</v>
      </c>
      <c r="C905">
        <v>63</v>
      </c>
      <c r="D905">
        <v>1</v>
      </c>
      <c r="E905" s="2">
        <v>45989</v>
      </c>
      <c r="F905" s="1">
        <v>45559</v>
      </c>
      <c r="G905" t="s">
        <v>2857</v>
      </c>
      <c r="H905" t="s">
        <v>25</v>
      </c>
      <c r="I905" t="s">
        <v>2858</v>
      </c>
      <c r="J905" t="s">
        <v>39</v>
      </c>
    </row>
    <row r="906" spans="1:10" x14ac:dyDescent="0.3">
      <c r="A906">
        <v>1045</v>
      </c>
      <c r="B906" t="s">
        <v>2859</v>
      </c>
      <c r="C906">
        <v>66</v>
      </c>
      <c r="D906">
        <v>1</v>
      </c>
      <c r="E906" s="2">
        <v>45800</v>
      </c>
      <c r="F906" s="2">
        <v>45411</v>
      </c>
      <c r="G906" t="s">
        <v>2860</v>
      </c>
      <c r="H906" t="s">
        <v>19</v>
      </c>
      <c r="I906" t="s">
        <v>2861</v>
      </c>
      <c r="J906" t="s">
        <v>39</v>
      </c>
    </row>
    <row r="907" spans="1:10" x14ac:dyDescent="0.3">
      <c r="A907">
        <v>1016</v>
      </c>
      <c r="B907" t="s">
        <v>2862</v>
      </c>
      <c r="C907">
        <v>49</v>
      </c>
      <c r="D907" t="s">
        <v>56</v>
      </c>
      <c r="E907" s="2">
        <v>45916</v>
      </c>
      <c r="F907" s="2">
        <v>45779</v>
      </c>
      <c r="G907" t="s">
        <v>2863</v>
      </c>
      <c r="H907" t="s">
        <v>19</v>
      </c>
      <c r="J907">
        <v>0</v>
      </c>
    </row>
    <row r="908" spans="1:10" x14ac:dyDescent="0.3">
      <c r="A908">
        <v>1006</v>
      </c>
      <c r="B908" t="s">
        <v>2864</v>
      </c>
      <c r="C908">
        <v>61</v>
      </c>
      <c r="D908" t="s">
        <v>23</v>
      </c>
      <c r="E908" s="1">
        <v>45975</v>
      </c>
      <c r="F908" s="1">
        <v>45422</v>
      </c>
      <c r="G908" t="s">
        <v>2865</v>
      </c>
      <c r="H908" t="s">
        <v>19</v>
      </c>
      <c r="I908" t="s">
        <v>2866</v>
      </c>
      <c r="J908" t="s">
        <v>65</v>
      </c>
    </row>
    <row r="909" spans="1:10" x14ac:dyDescent="0.3">
      <c r="A909">
        <v>1058</v>
      </c>
      <c r="B909" t="s">
        <v>2867</v>
      </c>
      <c r="C909">
        <v>30</v>
      </c>
      <c r="D909" t="s">
        <v>16</v>
      </c>
      <c r="E909" s="1">
        <v>46079</v>
      </c>
      <c r="F909" s="1">
        <v>46060</v>
      </c>
      <c r="G909" t="s">
        <v>2868</v>
      </c>
      <c r="H909" t="s">
        <v>29</v>
      </c>
      <c r="I909" t="s">
        <v>2869</v>
      </c>
      <c r="J909">
        <v>0</v>
      </c>
    </row>
    <row r="910" spans="1:10" x14ac:dyDescent="0.3">
      <c r="A910">
        <v>1050</v>
      </c>
      <c r="B910" t="s">
        <v>2870</v>
      </c>
      <c r="C910">
        <v>23</v>
      </c>
      <c r="D910">
        <v>1</v>
      </c>
      <c r="E910" t="s">
        <v>2871</v>
      </c>
      <c r="F910" s="1">
        <v>45830</v>
      </c>
      <c r="G910" t="s">
        <v>2872</v>
      </c>
      <c r="H910" t="s">
        <v>13</v>
      </c>
      <c r="I910" t="s">
        <v>2873</v>
      </c>
      <c r="J910">
        <v>1</v>
      </c>
    </row>
    <row r="911" spans="1:10" x14ac:dyDescent="0.3">
      <c r="A911">
        <v>1016</v>
      </c>
      <c r="B911" t="s">
        <v>2874</v>
      </c>
      <c r="C911">
        <v>87</v>
      </c>
      <c r="D911" t="s">
        <v>11</v>
      </c>
      <c r="E911" s="2">
        <v>46046</v>
      </c>
      <c r="F911" s="2">
        <v>45635</v>
      </c>
      <c r="G911" t="s">
        <v>2875</v>
      </c>
      <c r="H911" t="s">
        <v>29</v>
      </c>
      <c r="I911" t="s">
        <v>2876</v>
      </c>
      <c r="J911" t="s">
        <v>21</v>
      </c>
    </row>
    <row r="912" spans="1:10" x14ac:dyDescent="0.3">
      <c r="A912">
        <v>1014</v>
      </c>
      <c r="B912" t="s">
        <v>2877</v>
      </c>
      <c r="C912">
        <v>31</v>
      </c>
      <c r="D912">
        <v>0</v>
      </c>
      <c r="E912" s="2">
        <v>45899</v>
      </c>
      <c r="F912" s="2">
        <v>45674</v>
      </c>
      <c r="G912" t="s">
        <v>2878</v>
      </c>
      <c r="H912" t="s">
        <v>29</v>
      </c>
      <c r="I912" t="s">
        <v>2879</v>
      </c>
      <c r="J912" t="s">
        <v>21</v>
      </c>
    </row>
    <row r="913" spans="1:10" x14ac:dyDescent="0.3">
      <c r="A913">
        <v>1070</v>
      </c>
      <c r="B913" t="s">
        <v>2880</v>
      </c>
      <c r="C913">
        <v>49</v>
      </c>
      <c r="D913">
        <v>0</v>
      </c>
      <c r="E913" s="2">
        <v>45797</v>
      </c>
      <c r="F913" s="1">
        <v>45547</v>
      </c>
      <c r="G913" t="s">
        <v>2881</v>
      </c>
      <c r="H913" t="s">
        <v>29</v>
      </c>
      <c r="I913" t="s">
        <v>2882</v>
      </c>
      <c r="J913" t="s">
        <v>39</v>
      </c>
    </row>
    <row r="914" spans="1:10" x14ac:dyDescent="0.3">
      <c r="A914">
        <v>1068</v>
      </c>
      <c r="B914" t="s">
        <v>2883</v>
      </c>
      <c r="C914">
        <v>52</v>
      </c>
      <c r="D914" t="s">
        <v>41</v>
      </c>
      <c r="E914" s="2">
        <v>46034</v>
      </c>
      <c r="F914" s="1">
        <v>45513</v>
      </c>
      <c r="G914" t="s">
        <v>2884</v>
      </c>
      <c r="H914" t="s">
        <v>25</v>
      </c>
      <c r="I914" t="s">
        <v>2885</v>
      </c>
      <c r="J914">
        <v>0</v>
      </c>
    </row>
    <row r="915" spans="1:10" x14ac:dyDescent="0.3">
      <c r="A915">
        <v>1088</v>
      </c>
      <c r="B915" t="s">
        <v>2886</v>
      </c>
      <c r="C915">
        <v>65</v>
      </c>
      <c r="D915" t="s">
        <v>23</v>
      </c>
      <c r="E915" s="1">
        <v>45861</v>
      </c>
      <c r="F915" s="1">
        <v>45692</v>
      </c>
      <c r="G915" t="s">
        <v>2887</v>
      </c>
      <c r="H915" t="s">
        <v>25</v>
      </c>
      <c r="I915" t="s">
        <v>2888</v>
      </c>
      <c r="J915" t="s">
        <v>21</v>
      </c>
    </row>
    <row r="916" spans="1:10" x14ac:dyDescent="0.3">
      <c r="A916">
        <v>1012</v>
      </c>
      <c r="B916" t="s">
        <v>2889</v>
      </c>
      <c r="C916">
        <v>18</v>
      </c>
      <c r="D916" t="s">
        <v>16</v>
      </c>
      <c r="E916" s="1">
        <v>46041</v>
      </c>
      <c r="F916" s="1">
        <v>45663</v>
      </c>
      <c r="G916" t="s">
        <v>2890</v>
      </c>
      <c r="H916" t="s">
        <v>25</v>
      </c>
      <c r="I916" t="s">
        <v>2891</v>
      </c>
      <c r="J916" t="s">
        <v>39</v>
      </c>
    </row>
    <row r="917" spans="1:10" x14ac:dyDescent="0.3">
      <c r="A917">
        <v>1066</v>
      </c>
      <c r="B917" t="s">
        <v>2163</v>
      </c>
      <c r="C917">
        <v>37</v>
      </c>
      <c r="D917" t="s">
        <v>41</v>
      </c>
      <c r="E917" s="2">
        <v>45802</v>
      </c>
      <c r="F917" s="2">
        <v>45577</v>
      </c>
      <c r="G917" t="s">
        <v>2892</v>
      </c>
      <c r="H917" t="s">
        <v>29</v>
      </c>
      <c r="I917" t="s">
        <v>2893</v>
      </c>
      <c r="J917" t="s">
        <v>21</v>
      </c>
    </row>
    <row r="918" spans="1:10" x14ac:dyDescent="0.3">
      <c r="A918">
        <v>1071</v>
      </c>
      <c r="B918" t="s">
        <v>2894</v>
      </c>
      <c r="C918">
        <v>74</v>
      </c>
      <c r="D918" t="s">
        <v>23</v>
      </c>
      <c r="E918" s="2">
        <v>45892</v>
      </c>
      <c r="F918" s="2">
        <v>45559</v>
      </c>
      <c r="G918" t="s">
        <v>2895</v>
      </c>
      <c r="H918" t="s">
        <v>13</v>
      </c>
      <c r="I918" t="s">
        <v>2896</v>
      </c>
      <c r="J918" t="s">
        <v>65</v>
      </c>
    </row>
    <row r="919" spans="1:10" x14ac:dyDescent="0.3">
      <c r="A919">
        <v>1094</v>
      </c>
      <c r="B919" t="s">
        <v>2897</v>
      </c>
      <c r="C919">
        <v>60</v>
      </c>
      <c r="E919" t="s">
        <v>756</v>
      </c>
      <c r="F919" s="2">
        <v>45434</v>
      </c>
      <c r="G919" t="s">
        <v>2898</v>
      </c>
      <c r="H919" t="s">
        <v>29</v>
      </c>
      <c r="I919" t="s">
        <v>2899</v>
      </c>
      <c r="J919">
        <v>0</v>
      </c>
    </row>
    <row r="920" spans="1:10" x14ac:dyDescent="0.3">
      <c r="A920">
        <v>1075</v>
      </c>
      <c r="B920" t="s">
        <v>2900</v>
      </c>
      <c r="C920">
        <v>43</v>
      </c>
      <c r="D920">
        <v>1</v>
      </c>
      <c r="E920" t="s">
        <v>2901</v>
      </c>
      <c r="F920" s="2">
        <v>45716</v>
      </c>
      <c r="G920" t="s">
        <v>2902</v>
      </c>
      <c r="H920" t="s">
        <v>25</v>
      </c>
      <c r="I920" t="s">
        <v>2903</v>
      </c>
      <c r="J920" t="s">
        <v>39</v>
      </c>
    </row>
    <row r="921" spans="1:10" x14ac:dyDescent="0.3">
      <c r="A921">
        <v>1077</v>
      </c>
      <c r="B921" t="s">
        <v>2904</v>
      </c>
      <c r="C921">
        <v>30</v>
      </c>
      <c r="D921" t="s">
        <v>56</v>
      </c>
      <c r="E921" s="2">
        <v>45806</v>
      </c>
      <c r="F921" t="s">
        <v>2905</v>
      </c>
      <c r="G921" t="s">
        <v>2906</v>
      </c>
      <c r="H921" t="s">
        <v>19</v>
      </c>
      <c r="I921" t="s">
        <v>2907</v>
      </c>
      <c r="J921">
        <v>0</v>
      </c>
    </row>
    <row r="922" spans="1:10" x14ac:dyDescent="0.3">
      <c r="A922">
        <v>1044</v>
      </c>
      <c r="B922" t="s">
        <v>2908</v>
      </c>
      <c r="C922">
        <v>43</v>
      </c>
      <c r="D922" t="s">
        <v>56</v>
      </c>
      <c r="E922" s="2">
        <v>45749</v>
      </c>
      <c r="F922" s="2">
        <v>45481</v>
      </c>
      <c r="G922" t="s">
        <v>2909</v>
      </c>
      <c r="H922" t="s">
        <v>29</v>
      </c>
      <c r="I922" t="s">
        <v>2910</v>
      </c>
      <c r="J922">
        <v>0</v>
      </c>
    </row>
    <row r="923" spans="1:10" x14ac:dyDescent="0.3">
      <c r="A923">
        <v>1084</v>
      </c>
      <c r="B923" t="s">
        <v>2911</v>
      </c>
      <c r="C923">
        <v>68</v>
      </c>
      <c r="D923" t="s">
        <v>76</v>
      </c>
      <c r="E923" s="2">
        <v>45860</v>
      </c>
      <c r="F923" s="2">
        <v>45836</v>
      </c>
      <c r="G923" t="s">
        <v>2912</v>
      </c>
      <c r="H923" t="s">
        <v>29</v>
      </c>
      <c r="I923" t="s">
        <v>2913</v>
      </c>
      <c r="J923">
        <v>0</v>
      </c>
    </row>
    <row r="924" spans="1:10" x14ac:dyDescent="0.3">
      <c r="A924">
        <v>1060</v>
      </c>
      <c r="B924" t="s">
        <v>2914</v>
      </c>
      <c r="C924">
        <v>85</v>
      </c>
      <c r="D924" t="s">
        <v>11</v>
      </c>
      <c r="E924" s="2">
        <v>45919</v>
      </c>
      <c r="F924" s="2">
        <v>45916</v>
      </c>
      <c r="G924" t="s">
        <v>2915</v>
      </c>
      <c r="H924" t="s">
        <v>13</v>
      </c>
      <c r="I924" t="s">
        <v>2916</v>
      </c>
      <c r="J924" t="s">
        <v>21</v>
      </c>
    </row>
    <row r="925" spans="1:10" x14ac:dyDescent="0.3">
      <c r="A925">
        <v>1055</v>
      </c>
      <c r="B925" t="s">
        <v>2917</v>
      </c>
      <c r="C925">
        <v>69</v>
      </c>
      <c r="D925" t="s">
        <v>76</v>
      </c>
      <c r="E925" s="2">
        <v>45747</v>
      </c>
      <c r="F925" s="1">
        <v>45423</v>
      </c>
      <c r="G925" t="s">
        <v>2918</v>
      </c>
      <c r="H925" t="s">
        <v>19</v>
      </c>
      <c r="I925" t="s">
        <v>2919</v>
      </c>
      <c r="J925" t="s">
        <v>39</v>
      </c>
    </row>
    <row r="926" spans="1:10" x14ac:dyDescent="0.3">
      <c r="A926">
        <v>1046</v>
      </c>
      <c r="B926" t="s">
        <v>2920</v>
      </c>
      <c r="C926">
        <v>29</v>
      </c>
      <c r="D926">
        <v>1</v>
      </c>
      <c r="E926" s="2">
        <v>45754</v>
      </c>
      <c r="F926" s="2">
        <v>45445</v>
      </c>
      <c r="G926" t="s">
        <v>2921</v>
      </c>
      <c r="H926" t="s">
        <v>13</v>
      </c>
      <c r="I926" t="s">
        <v>2922</v>
      </c>
      <c r="J926">
        <v>1</v>
      </c>
    </row>
    <row r="927" spans="1:10" x14ac:dyDescent="0.3">
      <c r="A927">
        <v>1087</v>
      </c>
      <c r="B927" t="s">
        <v>2923</v>
      </c>
      <c r="C927">
        <v>31</v>
      </c>
      <c r="D927">
        <v>0</v>
      </c>
      <c r="E927" s="1">
        <v>45808</v>
      </c>
      <c r="F927" t="s">
        <v>212</v>
      </c>
      <c r="G927" t="s">
        <v>2186</v>
      </c>
      <c r="H927" t="s">
        <v>13</v>
      </c>
      <c r="I927" t="s">
        <v>2924</v>
      </c>
      <c r="J927" t="s">
        <v>39</v>
      </c>
    </row>
    <row r="928" spans="1:10" x14ac:dyDescent="0.3">
      <c r="A928">
        <v>1020</v>
      </c>
      <c r="B928" t="s">
        <v>2925</v>
      </c>
      <c r="C928">
        <v>56</v>
      </c>
      <c r="D928" t="s">
        <v>23</v>
      </c>
      <c r="E928" s="2">
        <v>45767</v>
      </c>
      <c r="F928" s="2">
        <v>45633</v>
      </c>
      <c r="G928" t="s">
        <v>2926</v>
      </c>
      <c r="H928" t="s">
        <v>25</v>
      </c>
      <c r="I928" t="s">
        <v>2927</v>
      </c>
      <c r="J928" t="s">
        <v>21</v>
      </c>
    </row>
    <row r="929" spans="1:10" x14ac:dyDescent="0.3">
      <c r="A929">
        <v>1047</v>
      </c>
      <c r="B929" t="s">
        <v>2928</v>
      </c>
      <c r="C929">
        <v>63</v>
      </c>
      <c r="D929" t="s">
        <v>16</v>
      </c>
      <c r="E929" s="2">
        <v>45768</v>
      </c>
      <c r="F929" s="1">
        <v>45811</v>
      </c>
      <c r="G929" t="s">
        <v>2929</v>
      </c>
      <c r="H929" t="s">
        <v>25</v>
      </c>
      <c r="I929" t="s">
        <v>2930</v>
      </c>
      <c r="J929" t="s">
        <v>31</v>
      </c>
    </row>
    <row r="930" spans="1:10" x14ac:dyDescent="0.3">
      <c r="A930">
        <v>1053</v>
      </c>
      <c r="B930" t="s">
        <v>2931</v>
      </c>
      <c r="C930">
        <v>86</v>
      </c>
      <c r="D930">
        <v>0</v>
      </c>
      <c r="E930" s="2">
        <v>45943</v>
      </c>
      <c r="F930" s="1">
        <v>45516</v>
      </c>
      <c r="G930" t="s">
        <v>2932</v>
      </c>
      <c r="H930" t="s">
        <v>29</v>
      </c>
      <c r="I930" t="s">
        <v>2933</v>
      </c>
      <c r="J930">
        <v>1</v>
      </c>
    </row>
    <row r="931" spans="1:10" x14ac:dyDescent="0.3">
      <c r="A931">
        <v>1031</v>
      </c>
      <c r="B931" t="s">
        <v>2934</v>
      </c>
      <c r="C931">
        <v>31</v>
      </c>
      <c r="D931">
        <v>0</v>
      </c>
      <c r="E931" s="2">
        <v>46098</v>
      </c>
      <c r="F931" s="2">
        <v>45871</v>
      </c>
      <c r="G931" t="s">
        <v>1935</v>
      </c>
      <c r="H931" t="s">
        <v>13</v>
      </c>
      <c r="I931" t="s">
        <v>2935</v>
      </c>
      <c r="J931" t="s">
        <v>39</v>
      </c>
    </row>
    <row r="932" spans="1:10" x14ac:dyDescent="0.3">
      <c r="A932">
        <v>1041</v>
      </c>
      <c r="B932" t="s">
        <v>2936</v>
      </c>
      <c r="C932">
        <v>81</v>
      </c>
      <c r="D932" t="s">
        <v>76</v>
      </c>
      <c r="E932" s="1">
        <v>45926</v>
      </c>
      <c r="F932" s="2">
        <v>45689</v>
      </c>
      <c r="G932" t="s">
        <v>2937</v>
      </c>
      <c r="H932" t="s">
        <v>19</v>
      </c>
      <c r="J932">
        <v>0</v>
      </c>
    </row>
    <row r="933" spans="1:10" x14ac:dyDescent="0.3">
      <c r="A933">
        <v>1047</v>
      </c>
      <c r="B933" t="s">
        <v>2938</v>
      </c>
      <c r="C933">
        <v>76</v>
      </c>
      <c r="D933" t="s">
        <v>76</v>
      </c>
      <c r="E933" t="s">
        <v>2076</v>
      </c>
      <c r="F933" s="2">
        <v>45822</v>
      </c>
      <c r="G933" t="s">
        <v>2939</v>
      </c>
      <c r="H933" t="s">
        <v>19</v>
      </c>
      <c r="I933" t="s">
        <v>2940</v>
      </c>
      <c r="J933" t="s">
        <v>65</v>
      </c>
    </row>
    <row r="934" spans="1:10" x14ac:dyDescent="0.3">
      <c r="A934">
        <v>1012</v>
      </c>
      <c r="B934" t="s">
        <v>2941</v>
      </c>
      <c r="C934">
        <v>76</v>
      </c>
      <c r="D934" t="s">
        <v>23</v>
      </c>
      <c r="E934" s="1">
        <v>46205</v>
      </c>
      <c r="F934" s="2">
        <v>46037</v>
      </c>
      <c r="G934" t="s">
        <v>2942</v>
      </c>
      <c r="H934" t="s">
        <v>19</v>
      </c>
      <c r="I934" t="s">
        <v>2943</v>
      </c>
      <c r="J934" t="s">
        <v>31</v>
      </c>
    </row>
    <row r="935" spans="1:10" x14ac:dyDescent="0.3">
      <c r="A935">
        <v>1034</v>
      </c>
      <c r="B935" t="s">
        <v>2944</v>
      </c>
      <c r="C935">
        <v>90</v>
      </c>
      <c r="D935">
        <v>1</v>
      </c>
      <c r="E935" s="1">
        <v>46206</v>
      </c>
      <c r="F935" s="1">
        <v>45468</v>
      </c>
      <c r="G935" t="s">
        <v>2945</v>
      </c>
      <c r="H935" t="s">
        <v>29</v>
      </c>
      <c r="J935">
        <v>0</v>
      </c>
    </row>
    <row r="936" spans="1:10" x14ac:dyDescent="0.3">
      <c r="A936">
        <v>1091</v>
      </c>
      <c r="B936" t="s">
        <v>2946</v>
      </c>
      <c r="C936">
        <v>62</v>
      </c>
      <c r="D936" t="s">
        <v>76</v>
      </c>
      <c r="E936" t="s">
        <v>2947</v>
      </c>
      <c r="F936" s="1">
        <v>45989</v>
      </c>
      <c r="G936" t="s">
        <v>2948</v>
      </c>
      <c r="H936" t="s">
        <v>25</v>
      </c>
      <c r="I936" t="s">
        <v>2949</v>
      </c>
      <c r="J936" t="s">
        <v>21</v>
      </c>
    </row>
    <row r="937" spans="1:10" x14ac:dyDescent="0.3">
      <c r="A937">
        <v>1034</v>
      </c>
      <c r="B937" t="s">
        <v>2950</v>
      </c>
      <c r="C937">
        <v>71</v>
      </c>
      <c r="D937" t="s">
        <v>76</v>
      </c>
      <c r="E937" s="2">
        <v>46017</v>
      </c>
      <c r="F937" s="1">
        <v>45409</v>
      </c>
      <c r="G937" t="s">
        <v>2951</v>
      </c>
      <c r="H937" t="s">
        <v>25</v>
      </c>
      <c r="I937" t="s">
        <v>2952</v>
      </c>
      <c r="J937">
        <v>0</v>
      </c>
    </row>
    <row r="938" spans="1:10" x14ac:dyDescent="0.3">
      <c r="A938">
        <v>1072</v>
      </c>
      <c r="B938" t="s">
        <v>2953</v>
      </c>
      <c r="C938">
        <v>59</v>
      </c>
      <c r="D938" t="s">
        <v>11</v>
      </c>
      <c r="E938" s="2">
        <v>45772</v>
      </c>
      <c r="F938" s="1">
        <v>45412</v>
      </c>
      <c r="G938" t="s">
        <v>2954</v>
      </c>
      <c r="H938" t="s">
        <v>13</v>
      </c>
      <c r="I938" t="s">
        <v>2955</v>
      </c>
      <c r="J938" t="s">
        <v>21</v>
      </c>
    </row>
    <row r="939" spans="1:10" x14ac:dyDescent="0.3">
      <c r="A939">
        <v>1048</v>
      </c>
      <c r="B939" t="s">
        <v>2956</v>
      </c>
      <c r="C939">
        <v>84</v>
      </c>
      <c r="D939" t="s">
        <v>16</v>
      </c>
      <c r="E939" t="s">
        <v>1754</v>
      </c>
      <c r="F939" s="2">
        <v>45686</v>
      </c>
      <c r="G939" t="s">
        <v>2957</v>
      </c>
      <c r="H939" t="s">
        <v>25</v>
      </c>
      <c r="J939" t="s">
        <v>65</v>
      </c>
    </row>
    <row r="940" spans="1:10" x14ac:dyDescent="0.3">
      <c r="A940">
        <v>1068</v>
      </c>
      <c r="B940" t="s">
        <v>2958</v>
      </c>
      <c r="C940">
        <v>40</v>
      </c>
      <c r="D940" t="s">
        <v>56</v>
      </c>
      <c r="E940" s="1">
        <v>46067</v>
      </c>
      <c r="F940" s="2">
        <v>45909</v>
      </c>
      <c r="G940" t="s">
        <v>2959</v>
      </c>
      <c r="H940" t="s">
        <v>25</v>
      </c>
      <c r="J940">
        <v>1</v>
      </c>
    </row>
    <row r="941" spans="1:10" x14ac:dyDescent="0.3">
      <c r="A941">
        <v>1063</v>
      </c>
      <c r="B941" t="s">
        <v>2960</v>
      </c>
      <c r="C941">
        <v>75</v>
      </c>
      <c r="D941" t="s">
        <v>11</v>
      </c>
      <c r="E941" s="1">
        <v>45722</v>
      </c>
      <c r="F941" s="1">
        <v>45605</v>
      </c>
      <c r="G941" t="s">
        <v>2961</v>
      </c>
      <c r="H941" t="s">
        <v>13</v>
      </c>
      <c r="I941" t="s">
        <v>2962</v>
      </c>
      <c r="J941" t="s">
        <v>39</v>
      </c>
    </row>
    <row r="942" spans="1:10" x14ac:dyDescent="0.3">
      <c r="A942">
        <v>1063</v>
      </c>
      <c r="B942" t="s">
        <v>2963</v>
      </c>
      <c r="C942">
        <v>58</v>
      </c>
      <c r="D942" t="s">
        <v>41</v>
      </c>
      <c r="E942" s="1">
        <v>46078</v>
      </c>
      <c r="F942" t="s">
        <v>2964</v>
      </c>
      <c r="G942" t="s">
        <v>2965</v>
      </c>
      <c r="H942" t="s">
        <v>25</v>
      </c>
      <c r="I942" t="s">
        <v>2966</v>
      </c>
      <c r="J942">
        <v>0</v>
      </c>
    </row>
    <row r="943" spans="1:10" x14ac:dyDescent="0.3">
      <c r="A943">
        <v>1045</v>
      </c>
      <c r="B943" t="s">
        <v>2967</v>
      </c>
      <c r="C943">
        <v>24</v>
      </c>
      <c r="D943" t="s">
        <v>11</v>
      </c>
      <c r="E943" s="2">
        <v>45993</v>
      </c>
      <c r="F943" t="s">
        <v>2968</v>
      </c>
      <c r="G943" t="s">
        <v>2969</v>
      </c>
      <c r="H943" t="s">
        <v>29</v>
      </c>
      <c r="I943" t="s">
        <v>2970</v>
      </c>
      <c r="J943">
        <v>0</v>
      </c>
    </row>
    <row r="944" spans="1:10" x14ac:dyDescent="0.3">
      <c r="A944">
        <v>1028</v>
      </c>
      <c r="B944" t="s">
        <v>2971</v>
      </c>
      <c r="C944">
        <v>88</v>
      </c>
      <c r="D944">
        <v>1</v>
      </c>
      <c r="E944" s="1">
        <v>45959</v>
      </c>
      <c r="F944" s="2">
        <v>45738</v>
      </c>
      <c r="G944" t="s">
        <v>32</v>
      </c>
      <c r="H944" t="s">
        <v>13</v>
      </c>
      <c r="I944" t="s">
        <v>2972</v>
      </c>
      <c r="J944" t="s">
        <v>39</v>
      </c>
    </row>
    <row r="945" spans="1:10" x14ac:dyDescent="0.3">
      <c r="A945">
        <v>1025</v>
      </c>
      <c r="B945" t="s">
        <v>2973</v>
      </c>
      <c r="C945">
        <v>84</v>
      </c>
      <c r="D945" t="s">
        <v>41</v>
      </c>
      <c r="E945" s="2">
        <v>45926</v>
      </c>
      <c r="F945" t="s">
        <v>970</v>
      </c>
      <c r="G945" t="s">
        <v>2974</v>
      </c>
      <c r="H945" t="s">
        <v>25</v>
      </c>
      <c r="I945" t="s">
        <v>2975</v>
      </c>
      <c r="J945" t="s">
        <v>21</v>
      </c>
    </row>
    <row r="946" spans="1:10" x14ac:dyDescent="0.3">
      <c r="A946">
        <v>1046</v>
      </c>
      <c r="B946" t="s">
        <v>2976</v>
      </c>
      <c r="C946">
        <v>64</v>
      </c>
      <c r="D946">
        <v>1</v>
      </c>
      <c r="E946" t="s">
        <v>1586</v>
      </c>
      <c r="F946" s="2">
        <v>45525</v>
      </c>
      <c r="G946" t="s">
        <v>2977</v>
      </c>
      <c r="H946" t="s">
        <v>19</v>
      </c>
      <c r="I946" t="s">
        <v>2978</v>
      </c>
      <c r="J946" t="s">
        <v>65</v>
      </c>
    </row>
    <row r="947" spans="1:10" x14ac:dyDescent="0.3">
      <c r="A947">
        <v>1036</v>
      </c>
      <c r="B947" t="s">
        <v>2979</v>
      </c>
      <c r="C947">
        <v>76</v>
      </c>
      <c r="D947">
        <v>0</v>
      </c>
      <c r="E947" s="2">
        <v>46032</v>
      </c>
      <c r="F947" s="1">
        <v>45869</v>
      </c>
      <c r="G947" t="s">
        <v>2980</v>
      </c>
      <c r="H947" t="s">
        <v>29</v>
      </c>
      <c r="I947" t="s">
        <v>2981</v>
      </c>
      <c r="J947" t="s">
        <v>21</v>
      </c>
    </row>
    <row r="948" spans="1:10" x14ac:dyDescent="0.3">
      <c r="A948">
        <v>1026</v>
      </c>
      <c r="B948" t="s">
        <v>2982</v>
      </c>
      <c r="C948">
        <v>49</v>
      </c>
      <c r="D948" t="s">
        <v>76</v>
      </c>
      <c r="E948" s="2">
        <v>46067</v>
      </c>
      <c r="F948" s="1">
        <v>45727</v>
      </c>
      <c r="G948" t="s">
        <v>2983</v>
      </c>
      <c r="H948" t="s">
        <v>25</v>
      </c>
      <c r="I948" t="s">
        <v>2984</v>
      </c>
      <c r="J948" t="s">
        <v>31</v>
      </c>
    </row>
    <row r="949" spans="1:10" x14ac:dyDescent="0.3">
      <c r="A949">
        <v>1097</v>
      </c>
      <c r="B949" t="s">
        <v>2985</v>
      </c>
      <c r="C949">
        <v>27</v>
      </c>
      <c r="D949" t="s">
        <v>56</v>
      </c>
      <c r="E949" s="2">
        <v>45963</v>
      </c>
      <c r="F949" s="1">
        <v>45407</v>
      </c>
      <c r="G949" t="s">
        <v>2986</v>
      </c>
      <c r="H949" t="s">
        <v>29</v>
      </c>
      <c r="I949" t="s">
        <v>2987</v>
      </c>
      <c r="J949" t="s">
        <v>39</v>
      </c>
    </row>
    <row r="950" spans="1:10" x14ac:dyDescent="0.3">
      <c r="A950">
        <v>1014</v>
      </c>
      <c r="B950" t="s">
        <v>2988</v>
      </c>
      <c r="C950">
        <v>29</v>
      </c>
      <c r="D950">
        <v>1</v>
      </c>
      <c r="E950" s="1">
        <v>46021</v>
      </c>
      <c r="F950" s="1">
        <v>45877</v>
      </c>
      <c r="G950" t="s">
        <v>2989</v>
      </c>
      <c r="H950" t="s">
        <v>25</v>
      </c>
      <c r="I950" t="s">
        <v>2990</v>
      </c>
      <c r="J950" t="s">
        <v>65</v>
      </c>
    </row>
    <row r="951" spans="1:10" x14ac:dyDescent="0.3">
      <c r="A951">
        <v>1085</v>
      </c>
      <c r="B951" t="s">
        <v>2991</v>
      </c>
      <c r="C951">
        <v>63</v>
      </c>
      <c r="D951" t="s">
        <v>76</v>
      </c>
      <c r="E951" s="1">
        <v>45881</v>
      </c>
      <c r="F951" s="2">
        <v>45599</v>
      </c>
      <c r="G951" t="s">
        <v>2992</v>
      </c>
      <c r="H951" t="s">
        <v>19</v>
      </c>
      <c r="I951" t="s">
        <v>2993</v>
      </c>
      <c r="J951" t="s">
        <v>21</v>
      </c>
    </row>
    <row r="952" spans="1:10" x14ac:dyDescent="0.3">
      <c r="A952">
        <v>1005</v>
      </c>
      <c r="B952" t="s">
        <v>2994</v>
      </c>
      <c r="C952">
        <v>54</v>
      </c>
      <c r="D952" t="s">
        <v>76</v>
      </c>
      <c r="E952" s="2">
        <v>45784</v>
      </c>
      <c r="F952" s="1">
        <v>45465</v>
      </c>
      <c r="G952" t="s">
        <v>2995</v>
      </c>
      <c r="H952" t="s">
        <v>29</v>
      </c>
      <c r="I952" t="s">
        <v>2996</v>
      </c>
      <c r="J952" t="s">
        <v>31</v>
      </c>
    </row>
    <row r="953" spans="1:10" x14ac:dyDescent="0.3">
      <c r="A953">
        <v>1075</v>
      </c>
      <c r="B953" t="s">
        <v>2997</v>
      </c>
      <c r="C953">
        <v>59</v>
      </c>
      <c r="D953" t="s">
        <v>23</v>
      </c>
      <c r="E953" s="2">
        <v>46101</v>
      </c>
      <c r="F953" s="2">
        <v>46015</v>
      </c>
      <c r="G953" t="s">
        <v>2998</v>
      </c>
      <c r="H953" t="s">
        <v>13</v>
      </c>
      <c r="I953" t="s">
        <v>2999</v>
      </c>
      <c r="J953">
        <v>1</v>
      </c>
    </row>
    <row r="954" spans="1:10" x14ac:dyDescent="0.3">
      <c r="A954">
        <v>1082</v>
      </c>
      <c r="B954" t="s">
        <v>3000</v>
      </c>
      <c r="C954">
        <v>37</v>
      </c>
      <c r="D954" t="s">
        <v>76</v>
      </c>
      <c r="E954" s="2">
        <v>45766</v>
      </c>
      <c r="F954" s="1">
        <v>45411</v>
      </c>
      <c r="G954" t="s">
        <v>3001</v>
      </c>
      <c r="H954" t="s">
        <v>19</v>
      </c>
      <c r="I954" t="s">
        <v>3002</v>
      </c>
      <c r="J954">
        <v>0</v>
      </c>
    </row>
    <row r="955" spans="1:10" x14ac:dyDescent="0.3">
      <c r="A955">
        <v>1089</v>
      </c>
      <c r="B955" t="s">
        <v>3003</v>
      </c>
      <c r="C955">
        <v>69</v>
      </c>
      <c r="D955" t="s">
        <v>56</v>
      </c>
      <c r="E955" s="1">
        <v>45757</v>
      </c>
      <c r="F955" t="s">
        <v>102</v>
      </c>
      <c r="G955" t="s">
        <v>3004</v>
      </c>
      <c r="H955" t="s">
        <v>29</v>
      </c>
      <c r="I955" t="s">
        <v>3005</v>
      </c>
      <c r="J955" t="s">
        <v>21</v>
      </c>
    </row>
    <row r="956" spans="1:10" x14ac:dyDescent="0.3">
      <c r="A956">
        <v>1092</v>
      </c>
      <c r="B956" t="s">
        <v>3006</v>
      </c>
      <c r="C956">
        <v>53</v>
      </c>
      <c r="D956" t="s">
        <v>41</v>
      </c>
      <c r="E956" t="s">
        <v>3007</v>
      </c>
      <c r="F956" s="1">
        <v>45435</v>
      </c>
      <c r="G956" t="s">
        <v>3008</v>
      </c>
      <c r="H956" t="s">
        <v>19</v>
      </c>
      <c r="I956" t="s">
        <v>3009</v>
      </c>
      <c r="J956" t="s">
        <v>21</v>
      </c>
    </row>
    <row r="957" spans="1:10" x14ac:dyDescent="0.3">
      <c r="A957">
        <v>1066</v>
      </c>
      <c r="B957" t="s">
        <v>3010</v>
      </c>
      <c r="C957">
        <v>46</v>
      </c>
      <c r="D957">
        <v>1</v>
      </c>
      <c r="E957" s="2">
        <v>46107</v>
      </c>
      <c r="F957" s="2">
        <v>45829</v>
      </c>
      <c r="G957" t="s">
        <v>3011</v>
      </c>
      <c r="H957" t="s">
        <v>13</v>
      </c>
      <c r="I957" t="s">
        <v>3012</v>
      </c>
      <c r="J957">
        <v>0</v>
      </c>
    </row>
    <row r="958" spans="1:10" x14ac:dyDescent="0.3">
      <c r="A958">
        <v>1016</v>
      </c>
      <c r="B958" t="s">
        <v>3013</v>
      </c>
      <c r="C958">
        <v>22</v>
      </c>
      <c r="D958" t="s">
        <v>23</v>
      </c>
      <c r="E958" s="2">
        <v>45777</v>
      </c>
      <c r="F958" s="2">
        <v>45483</v>
      </c>
      <c r="G958" t="s">
        <v>3014</v>
      </c>
      <c r="H958" t="s">
        <v>13</v>
      </c>
      <c r="J958" t="s">
        <v>65</v>
      </c>
    </row>
    <row r="959" spans="1:10" x14ac:dyDescent="0.3">
      <c r="A959">
        <v>1041</v>
      </c>
      <c r="B959" t="s">
        <v>3015</v>
      </c>
      <c r="C959">
        <v>43</v>
      </c>
      <c r="D959">
        <v>0</v>
      </c>
      <c r="E959" s="2">
        <v>45917</v>
      </c>
      <c r="F959" s="2">
        <v>45421</v>
      </c>
      <c r="G959" t="s">
        <v>3016</v>
      </c>
      <c r="H959" t="s">
        <v>19</v>
      </c>
      <c r="I959" t="s">
        <v>3017</v>
      </c>
      <c r="J959">
        <v>0</v>
      </c>
    </row>
    <row r="960" spans="1:10" x14ac:dyDescent="0.3">
      <c r="A960">
        <v>1052</v>
      </c>
      <c r="B960" t="s">
        <v>3018</v>
      </c>
      <c r="C960">
        <v>88</v>
      </c>
      <c r="D960">
        <v>0</v>
      </c>
      <c r="E960" s="2">
        <v>46006</v>
      </c>
      <c r="F960" s="2">
        <v>45975</v>
      </c>
      <c r="G960" t="s">
        <v>3019</v>
      </c>
      <c r="H960" t="s">
        <v>19</v>
      </c>
      <c r="I960" t="s">
        <v>3020</v>
      </c>
      <c r="J960">
        <v>1</v>
      </c>
    </row>
    <row r="961" spans="1:10" x14ac:dyDescent="0.3">
      <c r="A961">
        <v>1051</v>
      </c>
      <c r="B961" t="s">
        <v>3021</v>
      </c>
      <c r="C961">
        <v>64</v>
      </c>
      <c r="D961" t="s">
        <v>16</v>
      </c>
      <c r="E961" s="2">
        <v>45755</v>
      </c>
      <c r="F961" s="1">
        <v>45496</v>
      </c>
      <c r="G961" t="s">
        <v>3022</v>
      </c>
      <c r="H961" t="s">
        <v>13</v>
      </c>
      <c r="I961" t="s">
        <v>3023</v>
      </c>
      <c r="J961" t="s">
        <v>31</v>
      </c>
    </row>
    <row r="962" spans="1:10" x14ac:dyDescent="0.3">
      <c r="A962">
        <v>1035</v>
      </c>
      <c r="B962" t="s">
        <v>3024</v>
      </c>
      <c r="C962">
        <v>33</v>
      </c>
      <c r="D962" t="s">
        <v>56</v>
      </c>
      <c r="E962" s="1">
        <v>45752</v>
      </c>
      <c r="F962" s="1">
        <v>45447</v>
      </c>
      <c r="G962" t="s">
        <v>1026</v>
      </c>
      <c r="H962" t="s">
        <v>29</v>
      </c>
      <c r="I962" t="s">
        <v>3025</v>
      </c>
      <c r="J962">
        <v>1</v>
      </c>
    </row>
    <row r="963" spans="1:10" x14ac:dyDescent="0.3">
      <c r="A963">
        <v>1074</v>
      </c>
      <c r="B963" t="s">
        <v>3026</v>
      </c>
      <c r="C963">
        <v>80</v>
      </c>
      <c r="D963" t="s">
        <v>23</v>
      </c>
      <c r="E963" s="1">
        <v>45972</v>
      </c>
      <c r="F963" s="2">
        <v>45797</v>
      </c>
      <c r="G963" t="s">
        <v>3027</v>
      </c>
      <c r="H963" t="s">
        <v>25</v>
      </c>
      <c r="I963" t="s">
        <v>3028</v>
      </c>
      <c r="J963" t="s">
        <v>31</v>
      </c>
    </row>
    <row r="964" spans="1:10" x14ac:dyDescent="0.3">
      <c r="A964">
        <v>1098</v>
      </c>
      <c r="B964" t="s">
        <v>3029</v>
      </c>
      <c r="C964">
        <v>87</v>
      </c>
      <c r="D964" t="s">
        <v>23</v>
      </c>
      <c r="E964" s="2">
        <v>45840</v>
      </c>
      <c r="F964" s="2">
        <v>45621</v>
      </c>
      <c r="G964" t="s">
        <v>3030</v>
      </c>
      <c r="H964" t="s">
        <v>19</v>
      </c>
      <c r="I964" t="s">
        <v>3031</v>
      </c>
      <c r="J964">
        <v>0</v>
      </c>
    </row>
    <row r="965" spans="1:10" x14ac:dyDescent="0.3">
      <c r="A965">
        <v>1100</v>
      </c>
      <c r="B965" t="s">
        <v>3032</v>
      </c>
      <c r="C965">
        <v>31</v>
      </c>
      <c r="D965" t="s">
        <v>23</v>
      </c>
      <c r="E965" s="1">
        <v>45667</v>
      </c>
      <c r="F965" s="2">
        <v>45590</v>
      </c>
      <c r="G965" t="s">
        <v>3033</v>
      </c>
      <c r="H965" t="s">
        <v>13</v>
      </c>
      <c r="I965" t="s">
        <v>3034</v>
      </c>
      <c r="J965" t="s">
        <v>31</v>
      </c>
    </row>
    <row r="966" spans="1:10" x14ac:dyDescent="0.3">
      <c r="A966">
        <v>1049</v>
      </c>
      <c r="B966" t="s">
        <v>3035</v>
      </c>
      <c r="C966">
        <v>20</v>
      </c>
      <c r="D966">
        <v>1</v>
      </c>
      <c r="E966" s="1">
        <v>46020</v>
      </c>
      <c r="F966" t="s">
        <v>2099</v>
      </c>
      <c r="G966" t="s">
        <v>3036</v>
      </c>
      <c r="H966" t="s">
        <v>29</v>
      </c>
      <c r="I966" t="s">
        <v>3037</v>
      </c>
      <c r="J966" t="s">
        <v>65</v>
      </c>
    </row>
    <row r="967" spans="1:10" x14ac:dyDescent="0.3">
      <c r="A967">
        <v>1021</v>
      </c>
      <c r="B967" t="s">
        <v>3038</v>
      </c>
      <c r="C967">
        <v>80</v>
      </c>
      <c r="D967">
        <v>1</v>
      </c>
      <c r="E967" s="2">
        <v>45823</v>
      </c>
      <c r="F967" s="2">
        <v>45521</v>
      </c>
      <c r="G967" t="s">
        <v>3039</v>
      </c>
      <c r="H967" t="s">
        <v>19</v>
      </c>
      <c r="I967" t="s">
        <v>3040</v>
      </c>
      <c r="J967">
        <v>1</v>
      </c>
    </row>
    <row r="968" spans="1:10" x14ac:dyDescent="0.3">
      <c r="A968">
        <v>1069</v>
      </c>
      <c r="B968" t="s">
        <v>3041</v>
      </c>
      <c r="C968">
        <v>18</v>
      </c>
      <c r="D968">
        <v>1</v>
      </c>
      <c r="E968" s="1">
        <v>45947</v>
      </c>
      <c r="F968" s="2">
        <v>45419</v>
      </c>
      <c r="G968" t="s">
        <v>3042</v>
      </c>
      <c r="H968" t="s">
        <v>13</v>
      </c>
      <c r="I968" t="s">
        <v>3043</v>
      </c>
      <c r="J968" t="s">
        <v>31</v>
      </c>
    </row>
    <row r="969" spans="1:10" x14ac:dyDescent="0.3">
      <c r="A969">
        <v>1056</v>
      </c>
      <c r="B969" t="s">
        <v>3044</v>
      </c>
      <c r="C969">
        <v>71</v>
      </c>
      <c r="D969">
        <v>0</v>
      </c>
      <c r="E969" s="1">
        <v>46031</v>
      </c>
      <c r="F969" s="2">
        <v>46006</v>
      </c>
      <c r="G969" t="s">
        <v>3045</v>
      </c>
      <c r="H969" t="s">
        <v>29</v>
      </c>
      <c r="I969" t="s">
        <v>3046</v>
      </c>
      <c r="J969">
        <v>0</v>
      </c>
    </row>
    <row r="970" spans="1:10" x14ac:dyDescent="0.3">
      <c r="A970">
        <v>1036</v>
      </c>
      <c r="B970" t="s">
        <v>3047</v>
      </c>
      <c r="C970">
        <v>44</v>
      </c>
      <c r="D970" t="s">
        <v>11</v>
      </c>
      <c r="E970" s="2">
        <v>45774</v>
      </c>
      <c r="F970" s="2">
        <v>45639</v>
      </c>
      <c r="G970" t="s">
        <v>3048</v>
      </c>
      <c r="H970" t="s">
        <v>19</v>
      </c>
      <c r="I970" t="s">
        <v>3049</v>
      </c>
      <c r="J970" t="s">
        <v>39</v>
      </c>
    </row>
    <row r="971" spans="1:10" x14ac:dyDescent="0.3">
      <c r="A971">
        <v>1063</v>
      </c>
      <c r="B971" t="s">
        <v>3050</v>
      </c>
      <c r="C971">
        <v>32</v>
      </c>
      <c r="D971" t="s">
        <v>76</v>
      </c>
      <c r="E971" s="2">
        <v>45843</v>
      </c>
      <c r="F971" s="2">
        <v>45661</v>
      </c>
      <c r="G971" t="s">
        <v>1166</v>
      </c>
      <c r="H971" t="s">
        <v>19</v>
      </c>
      <c r="I971" t="s">
        <v>3051</v>
      </c>
      <c r="J971">
        <v>1</v>
      </c>
    </row>
    <row r="972" spans="1:10" x14ac:dyDescent="0.3">
      <c r="A972">
        <v>1081</v>
      </c>
      <c r="B972" t="s">
        <v>3052</v>
      </c>
      <c r="C972">
        <v>32</v>
      </c>
      <c r="D972" t="s">
        <v>23</v>
      </c>
      <c r="E972" s="2">
        <v>46079</v>
      </c>
      <c r="F972" s="2">
        <v>45761</v>
      </c>
      <c r="G972" t="s">
        <v>1646</v>
      </c>
      <c r="H972" t="s">
        <v>25</v>
      </c>
      <c r="I972" t="s">
        <v>3053</v>
      </c>
      <c r="J972">
        <v>0</v>
      </c>
    </row>
    <row r="973" spans="1:10" x14ac:dyDescent="0.3">
      <c r="A973">
        <v>1042</v>
      </c>
      <c r="B973" t="s">
        <v>3054</v>
      </c>
      <c r="C973">
        <v>48</v>
      </c>
      <c r="D973">
        <v>0</v>
      </c>
      <c r="E973" s="2">
        <v>45822</v>
      </c>
      <c r="F973" t="s">
        <v>1908</v>
      </c>
      <c r="G973" t="s">
        <v>3055</v>
      </c>
      <c r="H973" t="s">
        <v>13</v>
      </c>
      <c r="I973" t="s">
        <v>3056</v>
      </c>
      <c r="J973" t="s">
        <v>21</v>
      </c>
    </row>
    <row r="974" spans="1:10" x14ac:dyDescent="0.3">
      <c r="A974">
        <v>1082</v>
      </c>
      <c r="B974" t="s">
        <v>3057</v>
      </c>
      <c r="C974">
        <v>69</v>
      </c>
      <c r="D974" t="s">
        <v>11</v>
      </c>
      <c r="E974" s="1">
        <v>45802</v>
      </c>
      <c r="F974" t="s">
        <v>3058</v>
      </c>
      <c r="G974" t="s">
        <v>3059</v>
      </c>
      <c r="H974" t="s">
        <v>13</v>
      </c>
      <c r="I974" t="s">
        <v>3060</v>
      </c>
      <c r="J974">
        <v>1</v>
      </c>
    </row>
    <row r="975" spans="1:10" x14ac:dyDescent="0.3">
      <c r="A975">
        <v>1002</v>
      </c>
      <c r="B975" t="s">
        <v>3061</v>
      </c>
      <c r="C975">
        <v>88</v>
      </c>
      <c r="D975" t="s">
        <v>16</v>
      </c>
      <c r="E975" s="2">
        <v>45947</v>
      </c>
      <c r="F975" t="s">
        <v>212</v>
      </c>
      <c r="G975" t="s">
        <v>3062</v>
      </c>
      <c r="H975" t="s">
        <v>13</v>
      </c>
      <c r="I975" t="s">
        <v>3063</v>
      </c>
      <c r="J975" t="s">
        <v>31</v>
      </c>
    </row>
    <row r="976" spans="1:10" x14ac:dyDescent="0.3">
      <c r="A976">
        <v>1047</v>
      </c>
      <c r="B976" t="s">
        <v>3064</v>
      </c>
      <c r="C976">
        <v>36</v>
      </c>
      <c r="D976">
        <v>1</v>
      </c>
      <c r="E976" s="1">
        <v>46043</v>
      </c>
      <c r="F976" s="2">
        <v>45663</v>
      </c>
      <c r="G976" t="s">
        <v>3065</v>
      </c>
      <c r="H976" t="s">
        <v>19</v>
      </c>
      <c r="I976" t="s">
        <v>3066</v>
      </c>
      <c r="J976">
        <v>0</v>
      </c>
    </row>
    <row r="977" spans="1:10" x14ac:dyDescent="0.3">
      <c r="A977">
        <v>1043</v>
      </c>
      <c r="B977" t="s">
        <v>3067</v>
      </c>
      <c r="C977">
        <v>64</v>
      </c>
      <c r="D977" t="s">
        <v>56</v>
      </c>
      <c r="E977" s="1">
        <v>45956</v>
      </c>
      <c r="F977" s="1">
        <v>45427</v>
      </c>
      <c r="G977" t="s">
        <v>3068</v>
      </c>
      <c r="H977" t="s">
        <v>25</v>
      </c>
      <c r="I977" t="s">
        <v>3069</v>
      </c>
      <c r="J977" t="s">
        <v>21</v>
      </c>
    </row>
    <row r="978" spans="1:10" x14ac:dyDescent="0.3">
      <c r="A978">
        <v>1072</v>
      </c>
      <c r="B978" t="s">
        <v>3070</v>
      </c>
      <c r="C978">
        <v>38</v>
      </c>
      <c r="D978" t="s">
        <v>16</v>
      </c>
      <c r="E978" s="1">
        <v>45958</v>
      </c>
      <c r="F978" s="2">
        <v>45638</v>
      </c>
      <c r="G978" t="s">
        <v>3071</v>
      </c>
      <c r="H978" t="s">
        <v>29</v>
      </c>
      <c r="I978" t="s">
        <v>3072</v>
      </c>
      <c r="J978">
        <v>0</v>
      </c>
    </row>
    <row r="979" spans="1:10" x14ac:dyDescent="0.3">
      <c r="A979">
        <v>1085</v>
      </c>
      <c r="B979" t="s">
        <v>3073</v>
      </c>
      <c r="C979">
        <v>34</v>
      </c>
      <c r="D979" t="s">
        <v>56</v>
      </c>
      <c r="E979" t="s">
        <v>3074</v>
      </c>
      <c r="F979" t="s">
        <v>3075</v>
      </c>
      <c r="G979" t="s">
        <v>3076</v>
      </c>
      <c r="H979" t="s">
        <v>13</v>
      </c>
      <c r="I979" t="s">
        <v>3077</v>
      </c>
      <c r="J979">
        <v>0</v>
      </c>
    </row>
    <row r="980" spans="1:10" x14ac:dyDescent="0.3">
      <c r="A980">
        <v>1088</v>
      </c>
      <c r="B980" t="s">
        <v>3078</v>
      </c>
      <c r="C980">
        <v>19</v>
      </c>
      <c r="D980" t="s">
        <v>11</v>
      </c>
      <c r="E980" t="s">
        <v>426</v>
      </c>
      <c r="F980" s="1">
        <v>45775</v>
      </c>
      <c r="G980" t="s">
        <v>1854</v>
      </c>
      <c r="H980" t="s">
        <v>29</v>
      </c>
      <c r="I980" t="s">
        <v>3079</v>
      </c>
      <c r="J980" t="s">
        <v>65</v>
      </c>
    </row>
    <row r="981" spans="1:10" x14ac:dyDescent="0.3">
      <c r="A981">
        <v>1059</v>
      </c>
      <c r="B981" t="s">
        <v>3080</v>
      </c>
      <c r="C981">
        <v>65</v>
      </c>
      <c r="D981" t="s">
        <v>16</v>
      </c>
      <c r="E981" s="1">
        <v>45862</v>
      </c>
      <c r="F981" t="s">
        <v>1586</v>
      </c>
      <c r="G981" t="s">
        <v>3081</v>
      </c>
      <c r="H981" t="s">
        <v>25</v>
      </c>
      <c r="I981" t="s">
        <v>3082</v>
      </c>
      <c r="J981">
        <v>0</v>
      </c>
    </row>
    <row r="982" spans="1:10" x14ac:dyDescent="0.3">
      <c r="A982">
        <v>1028</v>
      </c>
      <c r="B982" t="s">
        <v>3083</v>
      </c>
      <c r="C982">
        <v>43</v>
      </c>
      <c r="D982">
        <v>0</v>
      </c>
      <c r="E982" s="2">
        <v>45841</v>
      </c>
      <c r="F982" s="1">
        <v>45428</v>
      </c>
      <c r="G982" t="s">
        <v>3084</v>
      </c>
      <c r="H982" t="s">
        <v>25</v>
      </c>
      <c r="I982" t="s">
        <v>3085</v>
      </c>
      <c r="J982">
        <v>1</v>
      </c>
    </row>
    <row r="983" spans="1:10" x14ac:dyDescent="0.3">
      <c r="A983">
        <v>1019</v>
      </c>
      <c r="B983" t="s">
        <v>3086</v>
      </c>
      <c r="C983">
        <v>66</v>
      </c>
      <c r="D983" t="s">
        <v>16</v>
      </c>
      <c r="E983" t="s">
        <v>1300</v>
      </c>
      <c r="F983" s="2">
        <v>45855</v>
      </c>
      <c r="G983" t="s">
        <v>3087</v>
      </c>
      <c r="H983" t="s">
        <v>19</v>
      </c>
      <c r="I983" t="s">
        <v>3088</v>
      </c>
      <c r="J983" t="s">
        <v>31</v>
      </c>
    </row>
    <row r="984" spans="1:10" x14ac:dyDescent="0.3">
      <c r="A984">
        <v>1012</v>
      </c>
      <c r="B984" t="s">
        <v>3089</v>
      </c>
      <c r="C984">
        <v>78</v>
      </c>
      <c r="D984" t="s">
        <v>11</v>
      </c>
      <c r="E984" s="2">
        <v>45853</v>
      </c>
      <c r="F984" s="2">
        <v>45842</v>
      </c>
      <c r="G984" t="s">
        <v>3090</v>
      </c>
      <c r="H984" t="s">
        <v>29</v>
      </c>
      <c r="I984" t="s">
        <v>3091</v>
      </c>
      <c r="J984">
        <v>0</v>
      </c>
    </row>
    <row r="985" spans="1:10" x14ac:dyDescent="0.3">
      <c r="A985">
        <v>1049</v>
      </c>
      <c r="B985" t="s">
        <v>3092</v>
      </c>
      <c r="C985">
        <v>84</v>
      </c>
      <c r="D985" t="s">
        <v>76</v>
      </c>
      <c r="E985" t="s">
        <v>756</v>
      </c>
      <c r="F985" s="2">
        <v>45876</v>
      </c>
      <c r="G985" t="s">
        <v>3093</v>
      </c>
      <c r="H985" t="s">
        <v>13</v>
      </c>
      <c r="I985" t="s">
        <v>3094</v>
      </c>
      <c r="J985" t="s">
        <v>21</v>
      </c>
    </row>
    <row r="986" spans="1:10" x14ac:dyDescent="0.3">
      <c r="A986">
        <v>1081</v>
      </c>
      <c r="B986" t="s">
        <v>3095</v>
      </c>
      <c r="C986">
        <v>43</v>
      </c>
      <c r="E986" s="2">
        <v>45864</v>
      </c>
      <c r="F986" s="2">
        <v>45436</v>
      </c>
      <c r="G986" t="s">
        <v>3096</v>
      </c>
      <c r="H986" t="s">
        <v>19</v>
      </c>
      <c r="I986" t="s">
        <v>3097</v>
      </c>
      <c r="J986">
        <v>1</v>
      </c>
    </row>
    <row r="987" spans="1:10" x14ac:dyDescent="0.3">
      <c r="A987">
        <v>1045</v>
      </c>
      <c r="B987" t="s">
        <v>3098</v>
      </c>
      <c r="C987">
        <v>29</v>
      </c>
      <c r="D987" t="s">
        <v>11</v>
      </c>
      <c r="E987" t="s">
        <v>535</v>
      </c>
      <c r="F987" s="2">
        <v>45740</v>
      </c>
      <c r="G987" t="s">
        <v>3099</v>
      </c>
      <c r="H987" t="s">
        <v>25</v>
      </c>
      <c r="I987" t="s">
        <v>3100</v>
      </c>
      <c r="J987" t="s">
        <v>31</v>
      </c>
    </row>
    <row r="988" spans="1:10" x14ac:dyDescent="0.3">
      <c r="A988">
        <v>1076</v>
      </c>
      <c r="B988" t="s">
        <v>3101</v>
      </c>
      <c r="C988">
        <v>79</v>
      </c>
      <c r="D988" t="s">
        <v>23</v>
      </c>
      <c r="E988" s="1">
        <v>46074</v>
      </c>
      <c r="F988" s="2">
        <v>45512</v>
      </c>
      <c r="G988" t="s">
        <v>3102</v>
      </c>
      <c r="H988" t="s">
        <v>19</v>
      </c>
      <c r="I988" t="s">
        <v>3103</v>
      </c>
      <c r="J988" t="s">
        <v>21</v>
      </c>
    </row>
    <row r="989" spans="1:10" x14ac:dyDescent="0.3">
      <c r="A989">
        <v>1047</v>
      </c>
      <c r="B989" t="s">
        <v>3104</v>
      </c>
      <c r="C989">
        <v>54</v>
      </c>
      <c r="D989">
        <v>1</v>
      </c>
      <c r="E989" s="1">
        <v>45810</v>
      </c>
      <c r="F989" s="2">
        <v>45504</v>
      </c>
      <c r="G989" t="s">
        <v>3105</v>
      </c>
      <c r="H989" t="s">
        <v>13</v>
      </c>
      <c r="I989" t="s">
        <v>3106</v>
      </c>
      <c r="J989" t="s">
        <v>39</v>
      </c>
    </row>
    <row r="990" spans="1:10" x14ac:dyDescent="0.3">
      <c r="A990">
        <v>1068</v>
      </c>
      <c r="B990" t="s">
        <v>3107</v>
      </c>
      <c r="C990">
        <v>42</v>
      </c>
      <c r="D990" t="s">
        <v>76</v>
      </c>
      <c r="E990" s="2">
        <v>45951</v>
      </c>
      <c r="F990" s="1">
        <v>45747</v>
      </c>
      <c r="G990" t="s">
        <v>3108</v>
      </c>
      <c r="H990" t="s">
        <v>25</v>
      </c>
      <c r="I990" t="s">
        <v>3109</v>
      </c>
      <c r="J990" t="s">
        <v>39</v>
      </c>
    </row>
    <row r="991" spans="1:10" x14ac:dyDescent="0.3">
      <c r="A991">
        <v>1021</v>
      </c>
      <c r="B991" t="s">
        <v>3110</v>
      </c>
      <c r="C991">
        <v>41</v>
      </c>
      <c r="D991">
        <v>1</v>
      </c>
      <c r="E991" s="2">
        <v>45750</v>
      </c>
      <c r="F991" s="2">
        <v>45526</v>
      </c>
      <c r="G991" t="s">
        <v>3111</v>
      </c>
      <c r="H991" t="s">
        <v>19</v>
      </c>
      <c r="I991" t="s">
        <v>3112</v>
      </c>
      <c r="J991">
        <v>1</v>
      </c>
    </row>
    <row r="992" spans="1:10" x14ac:dyDescent="0.3">
      <c r="A992">
        <v>1052</v>
      </c>
      <c r="B992" t="s">
        <v>3113</v>
      </c>
      <c r="C992">
        <v>48</v>
      </c>
      <c r="D992" t="s">
        <v>16</v>
      </c>
      <c r="E992" s="2">
        <v>45878</v>
      </c>
      <c r="F992" s="1">
        <v>45773</v>
      </c>
      <c r="G992" t="s">
        <v>3114</v>
      </c>
      <c r="H992" t="s">
        <v>19</v>
      </c>
      <c r="I992" t="s">
        <v>3115</v>
      </c>
      <c r="J992">
        <v>0</v>
      </c>
    </row>
    <row r="993" spans="1:10" x14ac:dyDescent="0.3">
      <c r="A993">
        <v>1075</v>
      </c>
      <c r="B993" t="s">
        <v>3116</v>
      </c>
      <c r="C993">
        <v>43</v>
      </c>
      <c r="D993" t="s">
        <v>23</v>
      </c>
      <c r="E993" s="1">
        <v>46357</v>
      </c>
      <c r="F993" t="s">
        <v>3117</v>
      </c>
      <c r="G993" t="s">
        <v>3118</v>
      </c>
      <c r="H993" t="s">
        <v>29</v>
      </c>
      <c r="I993" t="s">
        <v>3119</v>
      </c>
      <c r="J993" t="s">
        <v>21</v>
      </c>
    </row>
    <row r="994" spans="1:10" x14ac:dyDescent="0.3">
      <c r="A994">
        <v>1047</v>
      </c>
      <c r="B994" t="s">
        <v>3120</v>
      </c>
      <c r="C994">
        <v>76</v>
      </c>
      <c r="D994">
        <v>0</v>
      </c>
      <c r="E994" s="2">
        <v>46081</v>
      </c>
      <c r="F994" t="s">
        <v>3121</v>
      </c>
      <c r="G994" t="s">
        <v>941</v>
      </c>
      <c r="H994" t="s">
        <v>13</v>
      </c>
      <c r="I994" t="s">
        <v>3122</v>
      </c>
      <c r="J994">
        <v>0</v>
      </c>
    </row>
    <row r="995" spans="1:10" x14ac:dyDescent="0.3">
      <c r="A995">
        <v>1017</v>
      </c>
      <c r="B995" t="s">
        <v>3123</v>
      </c>
      <c r="C995">
        <v>50</v>
      </c>
      <c r="D995" t="s">
        <v>23</v>
      </c>
      <c r="E995" s="1">
        <v>45821</v>
      </c>
      <c r="F995" s="2">
        <v>45672</v>
      </c>
      <c r="G995" t="s">
        <v>3124</v>
      </c>
      <c r="H995" t="s">
        <v>13</v>
      </c>
      <c r="I995" t="s">
        <v>3125</v>
      </c>
      <c r="J995" t="s">
        <v>21</v>
      </c>
    </row>
    <row r="996" spans="1:10" x14ac:dyDescent="0.3">
      <c r="A996">
        <v>1068</v>
      </c>
      <c r="B996" t="s">
        <v>3126</v>
      </c>
      <c r="C996">
        <v>19</v>
      </c>
      <c r="D996" t="s">
        <v>76</v>
      </c>
      <c r="E996" s="1">
        <v>46048</v>
      </c>
      <c r="F996" s="2">
        <v>45624</v>
      </c>
      <c r="G996" t="s">
        <v>3127</v>
      </c>
      <c r="H996" t="s">
        <v>29</v>
      </c>
      <c r="I996" t="s">
        <v>3128</v>
      </c>
      <c r="J996" t="s">
        <v>21</v>
      </c>
    </row>
    <row r="997" spans="1:10" x14ac:dyDescent="0.3">
      <c r="A997">
        <v>1082</v>
      </c>
      <c r="B997" t="s">
        <v>3129</v>
      </c>
      <c r="C997">
        <v>64</v>
      </c>
      <c r="D997" t="s">
        <v>41</v>
      </c>
      <c r="E997" s="2">
        <v>45914</v>
      </c>
      <c r="F997" s="1">
        <v>45488</v>
      </c>
      <c r="G997" t="s">
        <v>3130</v>
      </c>
      <c r="H997" t="s">
        <v>29</v>
      </c>
      <c r="I997" t="s">
        <v>3131</v>
      </c>
      <c r="J997" t="s">
        <v>39</v>
      </c>
    </row>
    <row r="998" spans="1:10" x14ac:dyDescent="0.3">
      <c r="A998">
        <v>1008</v>
      </c>
      <c r="B998" t="s">
        <v>3132</v>
      </c>
      <c r="C998">
        <v>67</v>
      </c>
      <c r="D998" t="s">
        <v>16</v>
      </c>
      <c r="E998" s="2">
        <v>45756</v>
      </c>
      <c r="F998" s="2">
        <v>45463</v>
      </c>
      <c r="G998" t="s">
        <v>1229</v>
      </c>
      <c r="H998" t="s">
        <v>29</v>
      </c>
      <c r="I998" t="s">
        <v>3133</v>
      </c>
      <c r="J998" t="s">
        <v>31</v>
      </c>
    </row>
    <row r="999" spans="1:10" x14ac:dyDescent="0.3">
      <c r="A999">
        <v>1022</v>
      </c>
      <c r="B999" t="s">
        <v>1695</v>
      </c>
      <c r="C999">
        <v>28</v>
      </c>
      <c r="D999">
        <v>1</v>
      </c>
      <c r="E999" s="2">
        <v>46066</v>
      </c>
      <c r="F999" s="1">
        <v>45456</v>
      </c>
      <c r="G999" t="s">
        <v>3134</v>
      </c>
      <c r="H999" t="s">
        <v>25</v>
      </c>
      <c r="I999" t="s">
        <v>3135</v>
      </c>
      <c r="J999" t="s">
        <v>65</v>
      </c>
    </row>
    <row r="1000" spans="1:10" x14ac:dyDescent="0.3">
      <c r="A1000">
        <v>1088</v>
      </c>
      <c r="B1000" t="s">
        <v>1405</v>
      </c>
      <c r="C1000">
        <v>65</v>
      </c>
      <c r="D1000" t="s">
        <v>16</v>
      </c>
      <c r="E1000" s="1">
        <v>45842</v>
      </c>
      <c r="F1000" s="1">
        <v>45397</v>
      </c>
      <c r="G1000" t="s">
        <v>3136</v>
      </c>
      <c r="H1000" t="s">
        <v>25</v>
      </c>
      <c r="I1000" t="s">
        <v>3137</v>
      </c>
      <c r="J1000">
        <v>0</v>
      </c>
    </row>
    <row r="1001" spans="1:10" x14ac:dyDescent="0.3">
      <c r="A1001">
        <v>1003</v>
      </c>
      <c r="B1001" t="s">
        <v>3138</v>
      </c>
      <c r="C1001">
        <v>79</v>
      </c>
      <c r="D1001" t="s">
        <v>76</v>
      </c>
      <c r="E1001" s="2">
        <v>45966</v>
      </c>
      <c r="F1001" s="1">
        <v>45495</v>
      </c>
      <c r="G1001" t="s">
        <v>3139</v>
      </c>
      <c r="H1001" t="s">
        <v>13</v>
      </c>
      <c r="I1001" t="s">
        <v>3140</v>
      </c>
      <c r="J1001" t="s">
        <v>21</v>
      </c>
    </row>
  </sheetData>
  <autoFilter ref="A1:J1001" xr:uid="{242FD91D-8961-4BCB-A6CA-BDF6FEC3126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AB9C-E427-45FE-BA86-5D7741529F5E}">
  <dimension ref="A1:Q1001"/>
  <sheetViews>
    <sheetView tabSelected="1" workbookViewId="0">
      <selection activeCell="O14" sqref="O14"/>
    </sheetView>
  </sheetViews>
  <sheetFormatPr defaultRowHeight="14.4" x14ac:dyDescent="0.3"/>
  <cols>
    <col min="1" max="1" width="11.77734375" bestFit="1" customWidth="1"/>
    <col min="2" max="2" width="22.21875" hidden="1" customWidth="1"/>
    <col min="3" max="3" width="6.44140625" bestFit="1" customWidth="1"/>
    <col min="4" max="4" width="8.77734375" hidden="1" customWidth="1"/>
    <col min="5" max="5" width="21.6640625" bestFit="1" customWidth="1"/>
    <col min="6" max="6" width="17.109375" bestFit="1" customWidth="1"/>
    <col min="7" max="7" width="20.77734375" hidden="1" customWidth="1"/>
    <col min="8" max="8" width="12.88671875" hidden="1" customWidth="1"/>
    <col min="9" max="9" width="15.5546875" hidden="1" customWidth="1"/>
    <col min="10" max="10" width="19.44140625" hidden="1" customWidth="1"/>
    <col min="11" max="11" width="22" bestFit="1" customWidth="1"/>
    <col min="12" max="12" width="16.44140625" bestFit="1" customWidth="1"/>
    <col min="13" max="13" width="20.77734375" bestFit="1" customWidth="1"/>
    <col min="14" max="14" width="20.21875" bestFit="1" customWidth="1"/>
    <col min="15" max="15" width="14.77734375" style="5" bestFit="1" customWidth="1"/>
    <col min="16" max="16" width="19.44140625" bestFit="1" customWidth="1"/>
    <col min="17" max="17" width="14.109375" bestFit="1" customWidth="1"/>
  </cols>
  <sheetData>
    <row r="1" spans="1:17" x14ac:dyDescent="0.3">
      <c r="A1" s="7" t="s">
        <v>3143</v>
      </c>
      <c r="B1" t="s">
        <v>1</v>
      </c>
      <c r="C1" s="7" t="s">
        <v>3144</v>
      </c>
      <c r="D1" t="s">
        <v>3</v>
      </c>
      <c r="E1" s="8" t="s">
        <v>3145</v>
      </c>
      <c r="F1" s="8" t="s">
        <v>3146</v>
      </c>
      <c r="G1" t="s">
        <v>6</v>
      </c>
      <c r="H1" t="s">
        <v>7</v>
      </c>
      <c r="I1" t="s">
        <v>8</v>
      </c>
      <c r="J1" t="s">
        <v>9</v>
      </c>
      <c r="K1" s="7" t="s">
        <v>3147</v>
      </c>
      <c r="L1" s="7" t="s">
        <v>3148</v>
      </c>
      <c r="M1" s="7" t="s">
        <v>3149</v>
      </c>
      <c r="N1" s="7" t="s">
        <v>3150</v>
      </c>
      <c r="O1" s="9" t="s">
        <v>3141</v>
      </c>
      <c r="P1" s="7" t="s">
        <v>3151</v>
      </c>
      <c r="Q1" s="7" t="s">
        <v>3142</v>
      </c>
    </row>
    <row r="2" spans="1:17" x14ac:dyDescent="0.3">
      <c r="A2">
        <v>1080</v>
      </c>
      <c r="B2" t="s">
        <v>10</v>
      </c>
      <c r="C2">
        <v>76</v>
      </c>
      <c r="D2" t="s">
        <v>11</v>
      </c>
      <c r="E2" s="3">
        <v>46079</v>
      </c>
      <c r="F2" s="3">
        <v>45629</v>
      </c>
      <c r="G2" t="s">
        <v>12</v>
      </c>
      <c r="H2" t="s">
        <v>13</v>
      </c>
      <c r="I2" t="s">
        <v>14</v>
      </c>
      <c r="J2">
        <v>1</v>
      </c>
      <c r="K2" t="str">
        <f t="shared" ref="K2:K65" si="0">PROPER(TRIM(CLEAN(B2)))</f>
        <v>Tammy Williams</v>
      </c>
      <c r="L2" t="str">
        <f t="shared" ref="L2:L65" si="1">_xlfn.LET(_xlpm.x,LOWER(TRIM(D2)),
IF(OR(_xlpm.x="f",_xlpm.x="female",_xlpm.x="1"),"Female",
IF(OR(_xlpm.x="m",_xlpm.x="male",_xlpm.x="0"),"Male",
IF(_xlpm.x="","Missing","Review"))))</f>
        <v>Female</v>
      </c>
      <c r="M2" t="str">
        <f t="shared" ref="M2:M65" si="2">PROPER(TRIM(CLEAN(G2)))</f>
        <v>Christopher Graham</v>
      </c>
      <c r="N2" s="4" t="str">
        <f t="shared" ref="N2:N65" si="3">PROPER(TRIM(CLEAN(H2)))</f>
        <v>Cardiology</v>
      </c>
      <c r="O2" s="6">
        <f t="shared" ref="O2:O65" si="4">_xlfn.LET(_xlpm.x,TRIM(I2),IF(_xlpm.x="","0.00",IFERROR(VALUE(SUBSTITUTE(SUBSTITUTE(SUBSTITUTE(SUBSTITUTE(SUBSTITUTE(SUBSTITUTE(_xlpm.x,"Â£",""),"â‚¬",""),"$",""),"Rs",""),"£",""),"€","")),"0.00")))</f>
        <v>425.8</v>
      </c>
      <c r="P2" s="4" t="str">
        <f t="shared" ref="P2:P65" si="5">_xlfn.LET(_xlpm.x,LOWER(TRIM(J2)),
IF(OR(_xlpm.x="y",_xlpm.x="yes",_xlpm.x="1"),"Yes",
IF(OR(_xlpm.x="n",_xlpm.x="no",_xlpm.x="0"),"No",
IF(_xlpm.x="","Missing","Review"))))</f>
        <v>Yes</v>
      </c>
      <c r="Q2" s="4" t="str">
        <f>IF(OR(A2="",C2="",L2="Missing",M2="Missing",O2="0.00",K2="Missing"),"Review","OK")</f>
        <v>OK</v>
      </c>
    </row>
    <row r="3" spans="1:17" x14ac:dyDescent="0.3">
      <c r="A3">
        <v>1074</v>
      </c>
      <c r="B3" t="s">
        <v>15</v>
      </c>
      <c r="C3">
        <v>69</v>
      </c>
      <c r="D3" t="s">
        <v>16</v>
      </c>
      <c r="E3" s="3" t="s">
        <v>17</v>
      </c>
      <c r="F3" s="3">
        <v>45455</v>
      </c>
      <c r="G3" t="s">
        <v>18</v>
      </c>
      <c r="H3" t="s">
        <v>19</v>
      </c>
      <c r="I3" t="s">
        <v>20</v>
      </c>
      <c r="J3" t="s">
        <v>21</v>
      </c>
      <c r="K3" t="str">
        <f t="shared" si="0"/>
        <v>Megan Strickland</v>
      </c>
      <c r="L3" t="str">
        <f t="shared" si="1"/>
        <v>Female</v>
      </c>
      <c r="M3" t="str">
        <f t="shared" si="2"/>
        <v>Brandon Lewis</v>
      </c>
      <c r="N3" s="4" t="str">
        <f t="shared" si="3"/>
        <v>Orthopedics</v>
      </c>
      <c r="O3" s="6">
        <f t="shared" si="4"/>
        <v>344.26</v>
      </c>
      <c r="P3" s="4" t="str">
        <f t="shared" si="5"/>
        <v>Yes</v>
      </c>
      <c r="Q3" s="4" t="str">
        <f>IF(OR(A3="",C3="",L3="Missing",M3="Missing",O3="0.00",K3="Missing"),"Review","OK")</f>
        <v>OK</v>
      </c>
    </row>
    <row r="4" spans="1:17" x14ac:dyDescent="0.3">
      <c r="A4">
        <v>1067</v>
      </c>
      <c r="B4" t="s">
        <v>22</v>
      </c>
      <c r="C4">
        <v>79</v>
      </c>
      <c r="D4" t="s">
        <v>23</v>
      </c>
      <c r="E4" s="3">
        <v>45991</v>
      </c>
      <c r="F4" s="3">
        <v>45509</v>
      </c>
      <c r="G4" t="s">
        <v>24</v>
      </c>
      <c r="H4" t="s">
        <v>25</v>
      </c>
      <c r="I4" t="s">
        <v>26</v>
      </c>
      <c r="J4" t="s">
        <v>21</v>
      </c>
      <c r="K4" t="str">
        <f t="shared" si="0"/>
        <v>Amanda Schroeder</v>
      </c>
      <c r="L4" t="str">
        <f t="shared" si="1"/>
        <v>Male</v>
      </c>
      <c r="M4" t="str">
        <f t="shared" si="2"/>
        <v>Deanna Edwards</v>
      </c>
      <c r="N4" s="4" t="str">
        <f t="shared" si="3"/>
        <v>Neurology</v>
      </c>
      <c r="O4" s="6">
        <f t="shared" si="4"/>
        <v>203.34</v>
      </c>
      <c r="P4" s="4" t="str">
        <f t="shared" si="5"/>
        <v>Yes</v>
      </c>
      <c r="Q4" s="4" t="str">
        <f>IF(OR(A4="",C4="",L4="Missing",M4="Missing",O4="0.00",K4="Missing"),"Review","OK")</f>
        <v>OK</v>
      </c>
    </row>
    <row r="5" spans="1:17" x14ac:dyDescent="0.3">
      <c r="A5">
        <v>1072</v>
      </c>
      <c r="B5" t="s">
        <v>27</v>
      </c>
      <c r="C5">
        <v>47</v>
      </c>
      <c r="D5" t="s">
        <v>16</v>
      </c>
      <c r="E5" s="3">
        <v>45795</v>
      </c>
      <c r="F5" s="3">
        <v>45544</v>
      </c>
      <c r="G5" t="s">
        <v>28</v>
      </c>
      <c r="H5" t="s">
        <v>29</v>
      </c>
      <c r="I5" t="s">
        <v>30</v>
      </c>
      <c r="J5" t="s">
        <v>31</v>
      </c>
      <c r="K5" t="str">
        <f t="shared" si="0"/>
        <v>Anthony Mcpherson</v>
      </c>
      <c r="L5" t="str">
        <f t="shared" si="1"/>
        <v>Female</v>
      </c>
      <c r="M5" t="str">
        <f t="shared" si="2"/>
        <v>Karen Parsons</v>
      </c>
      <c r="N5" s="4" t="str">
        <f t="shared" si="3"/>
        <v>General</v>
      </c>
      <c r="O5" s="6">
        <f t="shared" si="4"/>
        <v>85.76</v>
      </c>
      <c r="P5" s="4" t="str">
        <f t="shared" si="5"/>
        <v>No</v>
      </c>
      <c r="Q5" s="4" t="str">
        <f>IF(OR(A5="",C5="",L5="Missing",M5="Missing",O5="0.00",K5="Missing"),"Review","OK")</f>
        <v>OK</v>
      </c>
    </row>
    <row r="6" spans="1:17" x14ac:dyDescent="0.3">
      <c r="A6">
        <v>1092</v>
      </c>
      <c r="B6" t="s">
        <v>32</v>
      </c>
      <c r="C6">
        <v>45</v>
      </c>
      <c r="E6" s="3">
        <v>46088</v>
      </c>
      <c r="F6" s="3" t="s">
        <v>33</v>
      </c>
      <c r="G6" t="s">
        <v>34</v>
      </c>
      <c r="H6" t="s">
        <v>29</v>
      </c>
      <c r="I6" t="s">
        <v>35</v>
      </c>
      <c r="J6">
        <v>1</v>
      </c>
      <c r="K6" t="str">
        <f t="shared" si="0"/>
        <v>Benjamin Brown</v>
      </c>
      <c r="L6" t="str">
        <f t="shared" si="1"/>
        <v>Missing</v>
      </c>
      <c r="M6" t="str">
        <f t="shared" si="2"/>
        <v>Andrea Hernandez</v>
      </c>
      <c r="N6" s="4" t="str">
        <f t="shared" si="3"/>
        <v>General</v>
      </c>
      <c r="O6" s="6">
        <f t="shared" si="4"/>
        <v>84.44</v>
      </c>
      <c r="P6" s="4" t="str">
        <f t="shared" si="5"/>
        <v>Yes</v>
      </c>
      <c r="Q6" s="4" t="str">
        <f>IF(OR(A6="",C6="",L6="Missing",M6="Missing",O6="0.00",K6="Missing"),"Review","OK")</f>
        <v>Review</v>
      </c>
    </row>
    <row r="7" spans="1:17" x14ac:dyDescent="0.3">
      <c r="A7">
        <v>1057</v>
      </c>
      <c r="B7" t="s">
        <v>36</v>
      </c>
      <c r="C7">
        <v>78</v>
      </c>
      <c r="D7">
        <v>1</v>
      </c>
      <c r="E7" s="3">
        <v>45926</v>
      </c>
      <c r="F7" s="3" t="s">
        <v>37</v>
      </c>
      <c r="G7" t="s">
        <v>38</v>
      </c>
      <c r="H7" t="s">
        <v>29</v>
      </c>
      <c r="J7" t="s">
        <v>39</v>
      </c>
      <c r="K7" t="str">
        <f t="shared" si="0"/>
        <v>Joe Sharp</v>
      </c>
      <c r="L7" t="str">
        <f t="shared" si="1"/>
        <v>Female</v>
      </c>
      <c r="M7" t="str">
        <f t="shared" si="2"/>
        <v>Kimberly Fields</v>
      </c>
      <c r="N7" s="4" t="str">
        <f t="shared" si="3"/>
        <v>General</v>
      </c>
      <c r="O7" s="6" t="str">
        <f t="shared" si="4"/>
        <v>0.00</v>
      </c>
      <c r="P7" s="4" t="str">
        <f t="shared" si="5"/>
        <v>Yes</v>
      </c>
      <c r="Q7" s="4" t="str">
        <f>IF(OR(A7="",C7="",L7="Missing",M7="Missing",O7="0.00",K7="Missing"),"Review","OK")</f>
        <v>Review</v>
      </c>
    </row>
    <row r="8" spans="1:17" x14ac:dyDescent="0.3">
      <c r="A8">
        <v>1018</v>
      </c>
      <c r="B8" t="s">
        <v>40</v>
      </c>
      <c r="C8">
        <v>22</v>
      </c>
      <c r="D8" t="s">
        <v>41</v>
      </c>
      <c r="E8" s="3">
        <v>45960</v>
      </c>
      <c r="F8" s="3" t="s">
        <v>42</v>
      </c>
      <c r="G8" t="s">
        <v>43</v>
      </c>
      <c r="H8" t="s">
        <v>13</v>
      </c>
      <c r="I8" t="s">
        <v>44</v>
      </c>
      <c r="J8" t="s">
        <v>31</v>
      </c>
      <c r="K8" t="str">
        <f t="shared" si="0"/>
        <v>Alexander Harris</v>
      </c>
      <c r="L8" t="str">
        <f t="shared" si="1"/>
        <v>Female</v>
      </c>
      <c r="M8" t="str">
        <f t="shared" si="2"/>
        <v>Jim Jones</v>
      </c>
      <c r="N8" s="4" t="str">
        <f t="shared" si="3"/>
        <v>Cardiology</v>
      </c>
      <c r="O8" s="6">
        <f t="shared" si="4"/>
        <v>99</v>
      </c>
      <c r="P8" s="4" t="str">
        <f t="shared" si="5"/>
        <v>No</v>
      </c>
      <c r="Q8" s="4" t="str">
        <f>IF(OR(A8="",C8="",L8="Missing",M8="Missing",O8="0.00",K8="Missing"),"Review","OK")</f>
        <v>OK</v>
      </c>
    </row>
    <row r="9" spans="1:17" x14ac:dyDescent="0.3">
      <c r="A9">
        <v>1074</v>
      </c>
      <c r="B9" t="s">
        <v>45</v>
      </c>
      <c r="C9">
        <v>57</v>
      </c>
      <c r="D9" t="s">
        <v>23</v>
      </c>
      <c r="E9" s="3">
        <v>45770</v>
      </c>
      <c r="F9" s="3">
        <v>45744</v>
      </c>
      <c r="G9" t="s">
        <v>46</v>
      </c>
      <c r="H9" t="s">
        <v>25</v>
      </c>
      <c r="I9" t="s">
        <v>47</v>
      </c>
      <c r="J9" t="s">
        <v>31</v>
      </c>
      <c r="K9" t="str">
        <f t="shared" si="0"/>
        <v>Raymond Williams</v>
      </c>
      <c r="L9" t="str">
        <f t="shared" si="1"/>
        <v>Male</v>
      </c>
      <c r="M9" t="str">
        <f t="shared" si="2"/>
        <v>James Brooks</v>
      </c>
      <c r="N9" s="4" t="str">
        <f t="shared" si="3"/>
        <v>Neurology</v>
      </c>
      <c r="O9" s="6">
        <f t="shared" si="4"/>
        <v>374.63</v>
      </c>
      <c r="P9" s="4" t="str">
        <f t="shared" si="5"/>
        <v>No</v>
      </c>
      <c r="Q9" s="4" t="str">
        <f>IF(OR(A9="",C9="",L9="Missing",M9="Missing",O9="0.00",K9="Missing"),"Review","OK")</f>
        <v>OK</v>
      </c>
    </row>
    <row r="10" spans="1:17" x14ac:dyDescent="0.3">
      <c r="A10">
        <v>1041</v>
      </c>
      <c r="B10" t="s">
        <v>48</v>
      </c>
      <c r="C10">
        <v>54</v>
      </c>
      <c r="D10" t="s">
        <v>11</v>
      </c>
      <c r="E10" s="3">
        <v>45891</v>
      </c>
      <c r="F10" s="3">
        <v>45603</v>
      </c>
      <c r="G10" t="s">
        <v>49</v>
      </c>
      <c r="H10" t="s">
        <v>29</v>
      </c>
      <c r="I10" t="s">
        <v>50</v>
      </c>
      <c r="J10" t="s">
        <v>39</v>
      </c>
      <c r="K10" t="str">
        <f t="shared" si="0"/>
        <v>Dustin Willis</v>
      </c>
      <c r="L10" t="str">
        <f t="shared" si="1"/>
        <v>Female</v>
      </c>
      <c r="M10" t="str">
        <f t="shared" si="2"/>
        <v>Jamie Hill</v>
      </c>
      <c r="N10" s="4" t="str">
        <f t="shared" si="3"/>
        <v>General</v>
      </c>
      <c r="O10" s="6">
        <f t="shared" si="4"/>
        <v>452.37</v>
      </c>
      <c r="P10" s="4" t="str">
        <f t="shared" si="5"/>
        <v>Yes</v>
      </c>
      <c r="Q10" s="4" t="str">
        <f>IF(OR(A10="",C10="",L10="Missing",M10="Missing",O10="0.00",K10="Missing"),"Review","OK")</f>
        <v>OK</v>
      </c>
    </row>
    <row r="11" spans="1:17" x14ac:dyDescent="0.3">
      <c r="A11">
        <v>1011</v>
      </c>
      <c r="B11" t="s">
        <v>51</v>
      </c>
      <c r="C11">
        <v>45</v>
      </c>
      <c r="D11" t="s">
        <v>23</v>
      </c>
      <c r="E11" s="3" t="s">
        <v>52</v>
      </c>
      <c r="F11" s="3">
        <v>46003</v>
      </c>
      <c r="G11" t="s">
        <v>53</v>
      </c>
      <c r="H11" t="s">
        <v>25</v>
      </c>
      <c r="I11" t="s">
        <v>54</v>
      </c>
      <c r="J11" t="s">
        <v>39</v>
      </c>
      <c r="K11" t="str">
        <f t="shared" si="0"/>
        <v>Tina Gallagher</v>
      </c>
      <c r="L11" t="str">
        <f t="shared" si="1"/>
        <v>Male</v>
      </c>
      <c r="M11" t="str">
        <f t="shared" si="2"/>
        <v>Tiffany Gates Md</v>
      </c>
      <c r="N11" s="4" t="str">
        <f t="shared" si="3"/>
        <v>Neurology</v>
      </c>
      <c r="O11" s="6">
        <f t="shared" si="4"/>
        <v>494.97</v>
      </c>
      <c r="P11" s="4" t="str">
        <f t="shared" si="5"/>
        <v>Yes</v>
      </c>
      <c r="Q11" s="4" t="str">
        <f>IF(OR(A11="",C11="",L11="Missing",M11="Missing",O11="0.00",K11="Missing"),"Review","OK")</f>
        <v>OK</v>
      </c>
    </row>
    <row r="12" spans="1:17" x14ac:dyDescent="0.3">
      <c r="A12">
        <v>1086</v>
      </c>
      <c r="B12" t="s">
        <v>55</v>
      </c>
      <c r="C12">
        <v>54</v>
      </c>
      <c r="D12" t="s">
        <v>56</v>
      </c>
      <c r="E12" s="3">
        <v>45771</v>
      </c>
      <c r="F12" s="3">
        <v>45572</v>
      </c>
      <c r="G12" t="s">
        <v>57</v>
      </c>
      <c r="H12" t="s">
        <v>13</v>
      </c>
      <c r="I12" t="s">
        <v>58</v>
      </c>
      <c r="J12" t="s">
        <v>21</v>
      </c>
      <c r="K12" t="str">
        <f t="shared" si="0"/>
        <v>Robert Guerrero</v>
      </c>
      <c r="L12" t="str">
        <f t="shared" si="1"/>
        <v>Male</v>
      </c>
      <c r="M12" t="str">
        <f t="shared" si="2"/>
        <v>Shane Brown</v>
      </c>
      <c r="N12" s="4" t="str">
        <f t="shared" si="3"/>
        <v>Cardiology</v>
      </c>
      <c r="O12" s="6">
        <f t="shared" si="4"/>
        <v>91.91</v>
      </c>
      <c r="P12" s="4" t="str">
        <f t="shared" si="5"/>
        <v>Yes</v>
      </c>
      <c r="Q12" s="4" t="str">
        <f>IF(OR(A12="",C12="",L12="Missing",M12="Missing",O12="0.00",K12="Missing"),"Review","OK")</f>
        <v>OK</v>
      </c>
    </row>
    <row r="13" spans="1:17" x14ac:dyDescent="0.3">
      <c r="A13">
        <v>1041</v>
      </c>
      <c r="B13" t="s">
        <v>59</v>
      </c>
      <c r="C13">
        <v>68</v>
      </c>
      <c r="D13" t="s">
        <v>16</v>
      </c>
      <c r="E13" s="3">
        <v>46088</v>
      </c>
      <c r="F13" s="3">
        <v>45406</v>
      </c>
      <c r="G13" t="s">
        <v>60</v>
      </c>
      <c r="H13" t="s">
        <v>29</v>
      </c>
      <c r="I13" t="s">
        <v>61</v>
      </c>
      <c r="J13" t="s">
        <v>39</v>
      </c>
      <c r="K13" t="str">
        <f t="shared" si="0"/>
        <v>Karen Walker</v>
      </c>
      <c r="L13" t="str">
        <f t="shared" si="1"/>
        <v>Female</v>
      </c>
      <c r="M13" t="str">
        <f t="shared" si="2"/>
        <v>Natalie White</v>
      </c>
      <c r="N13" s="4" t="str">
        <f t="shared" si="3"/>
        <v>General</v>
      </c>
      <c r="O13" s="6">
        <f t="shared" si="4"/>
        <v>82.88</v>
      </c>
      <c r="P13" s="4" t="str">
        <f t="shared" si="5"/>
        <v>Yes</v>
      </c>
      <c r="Q13" s="4" t="str">
        <f>IF(OR(A13="",C13="",L13="Missing",M13="Missing",O13="0.00",K13="Missing"),"Review","OK")</f>
        <v>OK</v>
      </c>
    </row>
    <row r="14" spans="1:17" x14ac:dyDescent="0.3">
      <c r="A14">
        <v>1057</v>
      </c>
      <c r="B14" t="s">
        <v>62</v>
      </c>
      <c r="C14">
        <v>61</v>
      </c>
      <c r="D14">
        <v>1</v>
      </c>
      <c r="E14" s="3">
        <v>45869</v>
      </c>
      <c r="F14" s="3">
        <v>45417</v>
      </c>
      <c r="G14" t="s">
        <v>63</v>
      </c>
      <c r="H14" t="s">
        <v>25</v>
      </c>
      <c r="I14" t="s">
        <v>64</v>
      </c>
      <c r="J14" t="s">
        <v>65</v>
      </c>
      <c r="K14" t="str">
        <f t="shared" si="0"/>
        <v>Chris Rice</v>
      </c>
      <c r="L14" t="str">
        <f t="shared" si="1"/>
        <v>Female</v>
      </c>
      <c r="M14" t="str">
        <f t="shared" si="2"/>
        <v>Amy Olson</v>
      </c>
      <c r="N14" s="4" t="str">
        <f t="shared" si="3"/>
        <v>Neurology</v>
      </c>
      <c r="O14" s="6">
        <f t="shared" si="4"/>
        <v>277.14</v>
      </c>
      <c r="P14" s="4" t="str">
        <f t="shared" si="5"/>
        <v>No</v>
      </c>
      <c r="Q14" s="4" t="str">
        <f>IF(OR(A14="",C14="",L14="Missing",M14="Missing",O14="0.00",K14="Missing"),"Review","OK")</f>
        <v>OK</v>
      </c>
    </row>
    <row r="15" spans="1:17" x14ac:dyDescent="0.3">
      <c r="A15">
        <v>1022</v>
      </c>
      <c r="B15" t="s">
        <v>66</v>
      </c>
      <c r="C15">
        <v>70</v>
      </c>
      <c r="D15" t="s">
        <v>23</v>
      </c>
      <c r="E15" s="3">
        <v>45921</v>
      </c>
      <c r="F15" s="3">
        <v>45602</v>
      </c>
      <c r="G15" t="s">
        <v>67</v>
      </c>
      <c r="H15" t="s">
        <v>19</v>
      </c>
      <c r="I15" t="s">
        <v>68</v>
      </c>
      <c r="J15" t="s">
        <v>21</v>
      </c>
      <c r="K15" t="str">
        <f t="shared" si="0"/>
        <v>Michael Mack</v>
      </c>
      <c r="L15" t="str">
        <f t="shared" si="1"/>
        <v>Male</v>
      </c>
      <c r="M15" t="str">
        <f t="shared" si="2"/>
        <v>John Larsen Ii</v>
      </c>
      <c r="N15" s="4" t="str">
        <f t="shared" si="3"/>
        <v>Orthopedics</v>
      </c>
      <c r="O15" s="6">
        <f t="shared" si="4"/>
        <v>411.01</v>
      </c>
      <c r="P15" s="4" t="str">
        <f t="shared" si="5"/>
        <v>Yes</v>
      </c>
      <c r="Q15" s="4" t="str">
        <f>IF(OR(A15="",C15="",L15="Missing",M15="Missing",O15="0.00",K15="Missing"),"Review","OK")</f>
        <v>OK</v>
      </c>
    </row>
    <row r="16" spans="1:17" x14ac:dyDescent="0.3">
      <c r="A16">
        <v>1046</v>
      </c>
      <c r="B16" t="s">
        <v>69</v>
      </c>
      <c r="C16">
        <v>36</v>
      </c>
      <c r="D16" t="s">
        <v>16</v>
      </c>
      <c r="E16" s="3">
        <v>46093</v>
      </c>
      <c r="F16" s="3">
        <v>45880</v>
      </c>
      <c r="G16" t="s">
        <v>70</v>
      </c>
      <c r="H16" t="s">
        <v>13</v>
      </c>
      <c r="I16" t="s">
        <v>71</v>
      </c>
      <c r="J16" t="s">
        <v>65</v>
      </c>
      <c r="K16" t="str">
        <f t="shared" si="0"/>
        <v>Andrea Hubbard</v>
      </c>
      <c r="L16" t="str">
        <f t="shared" si="1"/>
        <v>Female</v>
      </c>
      <c r="M16" t="str">
        <f t="shared" si="2"/>
        <v>Andrea Gates</v>
      </c>
      <c r="N16" s="4" t="str">
        <f t="shared" si="3"/>
        <v>Cardiology</v>
      </c>
      <c r="O16" s="6">
        <f t="shared" si="4"/>
        <v>67.510000000000005</v>
      </c>
      <c r="P16" s="4" t="str">
        <f t="shared" si="5"/>
        <v>No</v>
      </c>
      <c r="Q16" s="4" t="str">
        <f>IF(OR(A16="",C16="",L16="Missing",M16="Missing",O16="0.00",K16="Missing"),"Review","OK")</f>
        <v>OK</v>
      </c>
    </row>
    <row r="17" spans="1:17" x14ac:dyDescent="0.3">
      <c r="A17">
        <v>1025</v>
      </c>
      <c r="B17" t="s">
        <v>72</v>
      </c>
      <c r="C17">
        <v>23</v>
      </c>
      <c r="D17" t="s">
        <v>11</v>
      </c>
      <c r="E17" s="3">
        <v>46059</v>
      </c>
      <c r="F17" s="3">
        <v>45725</v>
      </c>
      <c r="G17" t="s">
        <v>73</v>
      </c>
      <c r="H17" t="s">
        <v>19</v>
      </c>
      <c r="I17" t="s">
        <v>74</v>
      </c>
      <c r="J17" t="s">
        <v>21</v>
      </c>
      <c r="K17" t="str">
        <f t="shared" si="0"/>
        <v>Brian Jones</v>
      </c>
      <c r="L17" t="str">
        <f>_xlfn.LET(_xlpm.x,LOWER(TRIM(D17)),
IF(OR(_xlpm.x="f",_xlpm.x="female",_xlpm.x="1"),"Female",
IF(OR(_xlpm.x="m",_xlpm.x="male",_xlpm.x="0"),"Male",
IF(_xlpm.x="","Missing","Review"))))</f>
        <v>Female</v>
      </c>
      <c r="M17" t="str">
        <f t="shared" si="2"/>
        <v>Robert Navarro</v>
      </c>
      <c r="N17" s="4" t="str">
        <f t="shared" si="3"/>
        <v>Orthopedics</v>
      </c>
      <c r="O17" s="6">
        <f t="shared" si="4"/>
        <v>163.99</v>
      </c>
      <c r="P17" s="4" t="str">
        <f t="shared" si="5"/>
        <v>Yes</v>
      </c>
      <c r="Q17" s="4" t="str">
        <f>IF(OR(A17="",C17="",L17="Missing",M17="Missing",O17="0.00",K17="Missing"),"Review","OK")</f>
        <v>OK</v>
      </c>
    </row>
    <row r="18" spans="1:17" x14ac:dyDescent="0.3">
      <c r="A18">
        <v>1027</v>
      </c>
      <c r="B18" t="s">
        <v>75</v>
      </c>
      <c r="C18">
        <v>72</v>
      </c>
      <c r="D18" t="s">
        <v>76</v>
      </c>
      <c r="E18" s="3">
        <v>45896</v>
      </c>
      <c r="F18" s="3">
        <v>45701</v>
      </c>
      <c r="G18" t="s">
        <v>77</v>
      </c>
      <c r="H18" t="s">
        <v>13</v>
      </c>
      <c r="I18" t="s">
        <v>78</v>
      </c>
      <c r="J18" t="s">
        <v>39</v>
      </c>
      <c r="K18" t="str">
        <f t="shared" si="0"/>
        <v>Kelly Olsen</v>
      </c>
      <c r="L18" t="str">
        <f t="shared" si="1"/>
        <v>Male</v>
      </c>
      <c r="M18" t="str">
        <f t="shared" si="2"/>
        <v>Christopher Bryant</v>
      </c>
      <c r="N18" s="4" t="str">
        <f t="shared" si="3"/>
        <v>Cardiology</v>
      </c>
      <c r="O18" s="6">
        <f t="shared" si="4"/>
        <v>252.38</v>
      </c>
      <c r="P18" s="4" t="str">
        <f t="shared" si="5"/>
        <v>Yes</v>
      </c>
      <c r="Q18" s="4" t="str">
        <f>IF(OR(A18="",C18="",L18="Missing",M18="Missing",O18="0.00",K18="Missing"),"Review","OK")</f>
        <v>OK</v>
      </c>
    </row>
    <row r="19" spans="1:17" x14ac:dyDescent="0.3">
      <c r="A19">
        <v>1059</v>
      </c>
      <c r="B19" t="s">
        <v>79</v>
      </c>
      <c r="C19">
        <v>66</v>
      </c>
      <c r="D19" t="s">
        <v>41</v>
      </c>
      <c r="E19" s="3">
        <v>45972</v>
      </c>
      <c r="F19" s="3">
        <v>45627</v>
      </c>
      <c r="G19" t="s">
        <v>80</v>
      </c>
      <c r="H19" t="s">
        <v>13</v>
      </c>
      <c r="I19" t="s">
        <v>81</v>
      </c>
      <c r="J19" t="s">
        <v>21</v>
      </c>
      <c r="K19" t="str">
        <f t="shared" si="0"/>
        <v>Andrew Oconnor</v>
      </c>
      <c r="L19" t="str">
        <f t="shared" si="1"/>
        <v>Female</v>
      </c>
      <c r="M19" t="str">
        <f t="shared" si="2"/>
        <v>Christina Hill</v>
      </c>
      <c r="N19" s="4" t="str">
        <f t="shared" si="3"/>
        <v>Cardiology</v>
      </c>
      <c r="O19" s="6">
        <f t="shared" si="4"/>
        <v>153.07</v>
      </c>
      <c r="P19" s="4" t="str">
        <f t="shared" si="5"/>
        <v>Yes</v>
      </c>
      <c r="Q19" s="4" t="str">
        <f>IF(OR(A19="",C19="",L19="Missing",M19="Missing",O19="0.00",K19="Missing"),"Review","OK")</f>
        <v>OK</v>
      </c>
    </row>
    <row r="20" spans="1:17" x14ac:dyDescent="0.3">
      <c r="A20">
        <v>1086</v>
      </c>
      <c r="B20" t="s">
        <v>82</v>
      </c>
      <c r="C20">
        <v>81</v>
      </c>
      <c r="D20" t="s">
        <v>23</v>
      </c>
      <c r="E20" s="3">
        <v>45934</v>
      </c>
      <c r="F20" s="3">
        <v>45642</v>
      </c>
      <c r="G20" t="s">
        <v>83</v>
      </c>
      <c r="H20" t="s">
        <v>29</v>
      </c>
      <c r="I20" t="s">
        <v>84</v>
      </c>
      <c r="J20">
        <v>1</v>
      </c>
      <c r="K20" t="str">
        <f t="shared" si="0"/>
        <v>Dennis Hurley</v>
      </c>
      <c r="L20" t="str">
        <f t="shared" si="1"/>
        <v>Male</v>
      </c>
      <c r="M20" t="str">
        <f t="shared" si="2"/>
        <v>Daniel Jacobson</v>
      </c>
      <c r="N20" s="4" t="str">
        <f t="shared" si="3"/>
        <v>General</v>
      </c>
      <c r="O20" s="6">
        <f t="shared" si="4"/>
        <v>329.3</v>
      </c>
      <c r="P20" s="4" t="str">
        <f t="shared" si="5"/>
        <v>Yes</v>
      </c>
      <c r="Q20" s="4" t="str">
        <f>IF(OR(A20="",C20="",L20="Missing",M20="Missing",O20="0.00",K20="Missing"),"Review","OK")</f>
        <v>OK</v>
      </c>
    </row>
    <row r="21" spans="1:17" x14ac:dyDescent="0.3">
      <c r="A21">
        <v>1033</v>
      </c>
      <c r="B21" t="s">
        <v>85</v>
      </c>
      <c r="C21">
        <v>76</v>
      </c>
      <c r="D21" t="s">
        <v>41</v>
      </c>
      <c r="E21" s="3">
        <v>45966</v>
      </c>
      <c r="F21" s="3">
        <v>45800</v>
      </c>
      <c r="G21" t="s">
        <v>86</v>
      </c>
      <c r="H21" t="s">
        <v>25</v>
      </c>
      <c r="I21" t="s">
        <v>87</v>
      </c>
      <c r="J21" t="s">
        <v>39</v>
      </c>
      <c r="K21" t="str">
        <f t="shared" si="0"/>
        <v>Paul Brock</v>
      </c>
      <c r="L21" t="str">
        <f t="shared" si="1"/>
        <v>Female</v>
      </c>
      <c r="M21" t="str">
        <f t="shared" si="2"/>
        <v>Kayla Savage</v>
      </c>
      <c r="N21" s="4" t="str">
        <f t="shared" si="3"/>
        <v>Neurology</v>
      </c>
      <c r="O21" s="6">
        <f t="shared" si="4"/>
        <v>135.44999999999999</v>
      </c>
      <c r="P21" s="4" t="str">
        <f t="shared" si="5"/>
        <v>Yes</v>
      </c>
      <c r="Q21" s="4" t="str">
        <f>IF(OR(A21="",C21="",L21="Missing",M21="Missing",O21="0.00",K21="Missing"),"Review","OK")</f>
        <v>OK</v>
      </c>
    </row>
    <row r="22" spans="1:17" x14ac:dyDescent="0.3">
      <c r="A22">
        <v>1069</v>
      </c>
      <c r="B22" t="s">
        <v>88</v>
      </c>
      <c r="C22">
        <v>90</v>
      </c>
      <c r="D22" t="s">
        <v>56</v>
      </c>
      <c r="E22" s="3">
        <v>45944</v>
      </c>
      <c r="F22" s="3">
        <v>45440</v>
      </c>
      <c r="G22" t="s">
        <v>89</v>
      </c>
      <c r="H22" t="s">
        <v>25</v>
      </c>
      <c r="I22" t="s">
        <v>90</v>
      </c>
      <c r="J22" t="s">
        <v>65</v>
      </c>
      <c r="K22" t="str">
        <f t="shared" si="0"/>
        <v>Jennifer Aguirre</v>
      </c>
      <c r="L22" t="str">
        <f t="shared" si="1"/>
        <v>Male</v>
      </c>
      <c r="M22" t="str">
        <f t="shared" si="2"/>
        <v>Richard Huang</v>
      </c>
      <c r="N22" s="4" t="str">
        <f t="shared" si="3"/>
        <v>Neurology</v>
      </c>
      <c r="O22" s="6">
        <f t="shared" si="4"/>
        <v>72.73</v>
      </c>
      <c r="P22" s="4" t="str">
        <f t="shared" si="5"/>
        <v>No</v>
      </c>
      <c r="Q22" s="4" t="str">
        <f>IF(OR(A22="",C22="",L22="Missing",M22="Missing",O22="0.00",K22="Missing"),"Review","OK")</f>
        <v>OK</v>
      </c>
    </row>
    <row r="23" spans="1:17" x14ac:dyDescent="0.3">
      <c r="A23">
        <v>1097</v>
      </c>
      <c r="B23" t="s">
        <v>91</v>
      </c>
      <c r="C23">
        <v>56</v>
      </c>
      <c r="D23" t="s">
        <v>56</v>
      </c>
      <c r="E23" s="3">
        <v>45792</v>
      </c>
      <c r="F23" s="3">
        <v>45417</v>
      </c>
      <c r="G23" t="s">
        <v>92</v>
      </c>
      <c r="H23" t="s">
        <v>19</v>
      </c>
      <c r="I23" t="s">
        <v>93</v>
      </c>
      <c r="J23" t="s">
        <v>21</v>
      </c>
      <c r="K23" t="str">
        <f t="shared" si="0"/>
        <v>Todd Wilson</v>
      </c>
      <c r="L23" t="str">
        <f t="shared" si="1"/>
        <v>Male</v>
      </c>
      <c r="M23" t="str">
        <f t="shared" si="2"/>
        <v>Rebecca Harrington</v>
      </c>
      <c r="N23" s="4" t="str">
        <f t="shared" si="3"/>
        <v>Orthopedics</v>
      </c>
      <c r="O23" s="6">
        <f t="shared" si="4"/>
        <v>258.64</v>
      </c>
      <c r="P23" s="4" t="str">
        <f t="shared" si="5"/>
        <v>Yes</v>
      </c>
      <c r="Q23" s="4" t="str">
        <f>IF(OR(A23="",C23="",L23="Missing",M23="Missing",O23="0.00",K23="Missing"),"Review","OK")</f>
        <v>OK</v>
      </c>
    </row>
    <row r="24" spans="1:17" x14ac:dyDescent="0.3">
      <c r="A24">
        <v>1064</v>
      </c>
      <c r="B24" t="s">
        <v>94</v>
      </c>
      <c r="C24">
        <v>88</v>
      </c>
      <c r="D24" t="s">
        <v>11</v>
      </c>
      <c r="E24" s="3" t="s">
        <v>95</v>
      </c>
      <c r="F24" s="3">
        <v>45634</v>
      </c>
      <c r="G24" t="s">
        <v>96</v>
      </c>
      <c r="H24" t="s">
        <v>29</v>
      </c>
      <c r="I24" t="s">
        <v>97</v>
      </c>
      <c r="J24" t="s">
        <v>31</v>
      </c>
      <c r="K24" t="str">
        <f t="shared" si="0"/>
        <v>Jeremiah Cole</v>
      </c>
      <c r="L24" t="str">
        <f t="shared" si="1"/>
        <v>Female</v>
      </c>
      <c r="M24" t="str">
        <f t="shared" si="2"/>
        <v>Louis Turner</v>
      </c>
      <c r="N24" s="4" t="str">
        <f t="shared" si="3"/>
        <v>General</v>
      </c>
      <c r="O24" s="6">
        <f t="shared" si="4"/>
        <v>203.61</v>
      </c>
      <c r="P24" s="4" t="str">
        <f t="shared" si="5"/>
        <v>No</v>
      </c>
      <c r="Q24" s="4" t="str">
        <f>IF(OR(A24="",C24="",L24="Missing",M24="Missing",O24="0.00",K24="Missing"),"Review","OK")</f>
        <v>OK</v>
      </c>
    </row>
    <row r="25" spans="1:17" x14ac:dyDescent="0.3">
      <c r="A25">
        <v>1089</v>
      </c>
      <c r="B25" t="s">
        <v>98</v>
      </c>
      <c r="C25">
        <v>32</v>
      </c>
      <c r="D25" t="s">
        <v>16</v>
      </c>
      <c r="E25" s="3">
        <v>45788</v>
      </c>
      <c r="F25" s="3">
        <v>45479</v>
      </c>
      <c r="G25" t="s">
        <v>99</v>
      </c>
      <c r="H25" t="s">
        <v>25</v>
      </c>
      <c r="I25" t="s">
        <v>100</v>
      </c>
      <c r="J25" t="s">
        <v>65</v>
      </c>
      <c r="K25" t="str">
        <f t="shared" si="0"/>
        <v>Vincent Brown</v>
      </c>
      <c r="L25" t="str">
        <f t="shared" si="1"/>
        <v>Female</v>
      </c>
      <c r="M25" t="str">
        <f t="shared" si="2"/>
        <v>Brianna Garcia</v>
      </c>
      <c r="N25" s="4" t="str">
        <f t="shared" si="3"/>
        <v>Neurology</v>
      </c>
      <c r="O25" s="6">
        <f t="shared" si="4"/>
        <v>236.22</v>
      </c>
      <c r="P25" s="4" t="str">
        <f t="shared" si="5"/>
        <v>No</v>
      </c>
      <c r="Q25" s="4" t="str">
        <f>IF(OR(A25="",C25="",L25="Missing",M25="Missing",O25="0.00",K25="Missing"),"Review","OK")</f>
        <v>OK</v>
      </c>
    </row>
    <row r="26" spans="1:17" x14ac:dyDescent="0.3">
      <c r="A26">
        <v>1086</v>
      </c>
      <c r="B26" t="s">
        <v>101</v>
      </c>
      <c r="C26">
        <v>34</v>
      </c>
      <c r="D26" t="s">
        <v>16</v>
      </c>
      <c r="E26" s="3" t="s">
        <v>102</v>
      </c>
      <c r="F26" s="3">
        <v>45391</v>
      </c>
      <c r="G26" t="s">
        <v>103</v>
      </c>
      <c r="H26" t="s">
        <v>13</v>
      </c>
      <c r="I26" t="s">
        <v>104</v>
      </c>
      <c r="J26" t="s">
        <v>21</v>
      </c>
      <c r="K26" t="str">
        <f t="shared" si="0"/>
        <v>Tracy Mcdonald</v>
      </c>
      <c r="L26" t="str">
        <f t="shared" si="1"/>
        <v>Female</v>
      </c>
      <c r="M26" t="str">
        <f t="shared" si="2"/>
        <v>Daniel Gutierrez</v>
      </c>
      <c r="N26" s="4" t="str">
        <f t="shared" si="3"/>
        <v>Cardiology</v>
      </c>
      <c r="O26" s="6">
        <f t="shared" si="4"/>
        <v>292.23</v>
      </c>
      <c r="P26" s="4" t="str">
        <f t="shared" si="5"/>
        <v>Yes</v>
      </c>
      <c r="Q26" s="4" t="str">
        <f>IF(OR(A26="",C26="",L26="Missing",M26="Missing",O26="0.00",K26="Missing"),"Review","OK")</f>
        <v>OK</v>
      </c>
    </row>
    <row r="27" spans="1:17" x14ac:dyDescent="0.3">
      <c r="A27">
        <v>1073</v>
      </c>
      <c r="B27" t="s">
        <v>105</v>
      </c>
      <c r="C27">
        <v>88</v>
      </c>
      <c r="D27">
        <v>0</v>
      </c>
      <c r="E27" s="3">
        <v>45835</v>
      </c>
      <c r="F27" s="3">
        <v>45813</v>
      </c>
      <c r="G27" t="s">
        <v>106</v>
      </c>
      <c r="H27" t="s">
        <v>29</v>
      </c>
      <c r="I27" t="s">
        <v>107</v>
      </c>
      <c r="J27" t="s">
        <v>21</v>
      </c>
      <c r="K27" t="str">
        <f t="shared" si="0"/>
        <v>Phillip Simpson</v>
      </c>
      <c r="L27" t="str">
        <f t="shared" si="1"/>
        <v>Male</v>
      </c>
      <c r="M27" t="str">
        <f t="shared" si="2"/>
        <v>Darren Brooks</v>
      </c>
      <c r="N27" s="4" t="str">
        <f t="shared" si="3"/>
        <v>General</v>
      </c>
      <c r="O27" s="6">
        <f t="shared" si="4"/>
        <v>51.72</v>
      </c>
      <c r="P27" s="4" t="str">
        <f t="shared" si="5"/>
        <v>Yes</v>
      </c>
      <c r="Q27" s="4" t="str">
        <f>IF(OR(A27="",C27="",L27="Missing",M27="Missing",O27="0.00",K27="Missing"),"Review","OK")</f>
        <v>OK</v>
      </c>
    </row>
    <row r="28" spans="1:17" x14ac:dyDescent="0.3">
      <c r="A28">
        <v>1093</v>
      </c>
      <c r="B28" t="s">
        <v>108</v>
      </c>
      <c r="C28">
        <v>20</v>
      </c>
      <c r="D28" t="s">
        <v>56</v>
      </c>
      <c r="E28" s="3" t="s">
        <v>109</v>
      </c>
      <c r="F28" s="3">
        <v>45821</v>
      </c>
      <c r="G28" t="s">
        <v>110</v>
      </c>
      <c r="H28" t="s">
        <v>13</v>
      </c>
      <c r="I28" t="s">
        <v>111</v>
      </c>
      <c r="J28">
        <v>1</v>
      </c>
      <c r="K28" t="str">
        <f t="shared" si="0"/>
        <v>Penny Friedman</v>
      </c>
      <c r="L28" t="str">
        <f t="shared" si="1"/>
        <v>Male</v>
      </c>
      <c r="M28" t="str">
        <f t="shared" si="2"/>
        <v>Janice Taylor</v>
      </c>
      <c r="N28" s="4" t="str">
        <f t="shared" si="3"/>
        <v>Cardiology</v>
      </c>
      <c r="O28" s="6">
        <f t="shared" si="4"/>
        <v>218.84</v>
      </c>
      <c r="P28" s="4" t="str">
        <f t="shared" si="5"/>
        <v>Yes</v>
      </c>
      <c r="Q28" s="4" t="str">
        <f>IF(OR(A28="",C28="",L28="Missing",M28="Missing",O28="0.00",K28="Missing"),"Review","OK")</f>
        <v>OK</v>
      </c>
    </row>
    <row r="29" spans="1:17" x14ac:dyDescent="0.3">
      <c r="A29">
        <v>1084</v>
      </c>
      <c r="B29" t="s">
        <v>112</v>
      </c>
      <c r="C29">
        <v>86</v>
      </c>
      <c r="D29" t="s">
        <v>56</v>
      </c>
      <c r="E29" s="3">
        <v>46237</v>
      </c>
      <c r="F29" s="3">
        <v>45482</v>
      </c>
      <c r="G29" t="s">
        <v>113</v>
      </c>
      <c r="H29" t="s">
        <v>25</v>
      </c>
      <c r="I29" t="s">
        <v>114</v>
      </c>
      <c r="J29" t="s">
        <v>39</v>
      </c>
      <c r="K29" t="str">
        <f t="shared" si="0"/>
        <v>Cynthia Hensley</v>
      </c>
      <c r="L29" t="str">
        <f t="shared" si="1"/>
        <v>Male</v>
      </c>
      <c r="M29" t="str">
        <f t="shared" si="2"/>
        <v>David Robles</v>
      </c>
      <c r="N29" s="4" t="str">
        <f t="shared" si="3"/>
        <v>Neurology</v>
      </c>
      <c r="O29" s="6">
        <f t="shared" si="4"/>
        <v>160.38</v>
      </c>
      <c r="P29" s="4" t="str">
        <f t="shared" si="5"/>
        <v>Yes</v>
      </c>
      <c r="Q29" s="4" t="str">
        <f>IF(OR(A29="",C29="",L29="Missing",M29="Missing",O29="0.00",K29="Missing"),"Review","OK")</f>
        <v>OK</v>
      </c>
    </row>
    <row r="30" spans="1:17" x14ac:dyDescent="0.3">
      <c r="A30">
        <v>1002</v>
      </c>
      <c r="B30" t="s">
        <v>115</v>
      </c>
      <c r="C30">
        <v>42</v>
      </c>
      <c r="D30" t="s">
        <v>23</v>
      </c>
      <c r="E30" s="3">
        <v>45944</v>
      </c>
      <c r="F30" s="3">
        <v>45600</v>
      </c>
      <c r="G30" t="s">
        <v>116</v>
      </c>
      <c r="H30" t="s">
        <v>25</v>
      </c>
      <c r="I30" t="s">
        <v>117</v>
      </c>
      <c r="J30">
        <v>0</v>
      </c>
      <c r="K30" t="str">
        <f t="shared" si="0"/>
        <v>Cassandra Gardner</v>
      </c>
      <c r="L30" t="str">
        <f t="shared" si="1"/>
        <v>Male</v>
      </c>
      <c r="M30" t="str">
        <f t="shared" si="2"/>
        <v>Gregory Kirk</v>
      </c>
      <c r="N30" s="4" t="str">
        <f t="shared" si="3"/>
        <v>Neurology</v>
      </c>
      <c r="O30" s="6">
        <f t="shared" si="4"/>
        <v>342.38</v>
      </c>
      <c r="P30" s="4" t="str">
        <f t="shared" si="5"/>
        <v>No</v>
      </c>
      <c r="Q30" s="4" t="str">
        <f>IF(OR(A30="",C30="",L30="Missing",M30="Missing",O30="0.00",K30="Missing"),"Review","OK")</f>
        <v>OK</v>
      </c>
    </row>
    <row r="31" spans="1:17" x14ac:dyDescent="0.3">
      <c r="A31">
        <v>1030</v>
      </c>
      <c r="B31" t="s">
        <v>118</v>
      </c>
      <c r="C31">
        <v>18</v>
      </c>
      <c r="D31" t="s">
        <v>56</v>
      </c>
      <c r="E31" s="3">
        <v>45970</v>
      </c>
      <c r="F31" s="3">
        <v>45570</v>
      </c>
      <c r="G31" t="s">
        <v>119</v>
      </c>
      <c r="H31" t="s">
        <v>19</v>
      </c>
      <c r="I31" t="s">
        <v>120</v>
      </c>
      <c r="J31" t="s">
        <v>65</v>
      </c>
      <c r="K31" t="str">
        <f t="shared" si="0"/>
        <v>Patrick Saunders</v>
      </c>
      <c r="L31" t="str">
        <f t="shared" si="1"/>
        <v>Male</v>
      </c>
      <c r="M31" t="str">
        <f t="shared" si="2"/>
        <v>Casey Wagner</v>
      </c>
      <c r="N31" s="4" t="str">
        <f t="shared" si="3"/>
        <v>Orthopedics</v>
      </c>
      <c r="O31" s="6">
        <f t="shared" si="4"/>
        <v>208.91</v>
      </c>
      <c r="P31" s="4" t="str">
        <f t="shared" si="5"/>
        <v>No</v>
      </c>
      <c r="Q31" s="4" t="str">
        <f>IF(OR(A31="",C31="",L31="Missing",M31="Missing",O31="0.00",K31="Missing"),"Review","OK")</f>
        <v>OK</v>
      </c>
    </row>
    <row r="32" spans="1:17" x14ac:dyDescent="0.3">
      <c r="A32">
        <v>1043</v>
      </c>
      <c r="B32" t="s">
        <v>121</v>
      </c>
      <c r="C32">
        <v>82</v>
      </c>
      <c r="D32" t="s">
        <v>41</v>
      </c>
      <c r="E32" s="3" t="s">
        <v>122</v>
      </c>
      <c r="F32" s="3">
        <v>45859</v>
      </c>
      <c r="G32" t="s">
        <v>123</v>
      </c>
      <c r="H32" t="s">
        <v>29</v>
      </c>
      <c r="I32" t="s">
        <v>124</v>
      </c>
      <c r="J32" t="s">
        <v>31</v>
      </c>
      <c r="K32" t="str">
        <f t="shared" si="0"/>
        <v>Angel Kelly</v>
      </c>
      <c r="L32" t="str">
        <f t="shared" si="1"/>
        <v>Female</v>
      </c>
      <c r="M32" t="str">
        <f t="shared" si="2"/>
        <v>Stephanie Taylor</v>
      </c>
      <c r="N32" s="4" t="str">
        <f t="shared" si="3"/>
        <v>General</v>
      </c>
      <c r="O32" s="6">
        <f t="shared" si="4"/>
        <v>426.86</v>
      </c>
      <c r="P32" s="4" t="str">
        <f t="shared" si="5"/>
        <v>No</v>
      </c>
      <c r="Q32" s="4" t="str">
        <f>IF(OR(A32="",C32="",L32="Missing",M32="Missing",O32="0.00",K32="Missing"),"Review","OK")</f>
        <v>OK</v>
      </c>
    </row>
    <row r="33" spans="1:17" x14ac:dyDescent="0.3">
      <c r="A33">
        <v>1056</v>
      </c>
      <c r="B33" t="s">
        <v>125</v>
      </c>
      <c r="C33">
        <v>67</v>
      </c>
      <c r="D33" t="s">
        <v>11</v>
      </c>
      <c r="E33" s="3">
        <v>45913</v>
      </c>
      <c r="F33" s="3">
        <v>45664</v>
      </c>
      <c r="G33" t="s">
        <v>126</v>
      </c>
      <c r="H33" t="s">
        <v>19</v>
      </c>
      <c r="I33" t="s">
        <v>127</v>
      </c>
      <c r="J33" t="s">
        <v>39</v>
      </c>
      <c r="K33" t="str">
        <f t="shared" si="0"/>
        <v>Heather Baker</v>
      </c>
      <c r="L33" t="str">
        <f t="shared" si="1"/>
        <v>Female</v>
      </c>
      <c r="M33" t="str">
        <f t="shared" si="2"/>
        <v>Andrew Thomas</v>
      </c>
      <c r="N33" s="4" t="str">
        <f t="shared" si="3"/>
        <v>Orthopedics</v>
      </c>
      <c r="O33" s="6">
        <f t="shared" si="4"/>
        <v>215.31</v>
      </c>
      <c r="P33" s="4" t="str">
        <f t="shared" si="5"/>
        <v>Yes</v>
      </c>
      <c r="Q33" s="4" t="str">
        <f>IF(OR(A33="",C33="",L33="Missing",M33="Missing",O33="0.00",K33="Missing"),"Review","OK")</f>
        <v>OK</v>
      </c>
    </row>
    <row r="34" spans="1:17" x14ac:dyDescent="0.3">
      <c r="A34">
        <v>1094</v>
      </c>
      <c r="B34" t="s">
        <v>128</v>
      </c>
      <c r="C34">
        <v>32</v>
      </c>
      <c r="D34" t="s">
        <v>56</v>
      </c>
      <c r="E34" s="3">
        <v>46090</v>
      </c>
      <c r="F34" s="3">
        <v>45610</v>
      </c>
      <c r="G34" t="s">
        <v>129</v>
      </c>
      <c r="H34" t="s">
        <v>29</v>
      </c>
      <c r="I34" t="s">
        <v>130</v>
      </c>
      <c r="J34">
        <v>0</v>
      </c>
      <c r="K34" t="str">
        <f t="shared" si="0"/>
        <v>Stacy Cunningham</v>
      </c>
      <c r="L34" t="str">
        <f t="shared" si="1"/>
        <v>Male</v>
      </c>
      <c r="M34" t="str">
        <f t="shared" si="2"/>
        <v>Laura Klein</v>
      </c>
      <c r="N34" s="4" t="str">
        <f t="shared" si="3"/>
        <v>General</v>
      </c>
      <c r="O34" s="6">
        <f t="shared" si="4"/>
        <v>413.53</v>
      </c>
      <c r="P34" s="4" t="str">
        <f t="shared" si="5"/>
        <v>No</v>
      </c>
      <c r="Q34" s="4" t="str">
        <f>IF(OR(A34="",C34="",L34="Missing",M34="Missing",O34="0.00",K34="Missing"),"Review","OK")</f>
        <v>OK</v>
      </c>
    </row>
    <row r="35" spans="1:17" x14ac:dyDescent="0.3">
      <c r="A35">
        <v>1041</v>
      </c>
      <c r="B35" t="s">
        <v>131</v>
      </c>
      <c r="C35">
        <v>20</v>
      </c>
      <c r="D35" t="s">
        <v>56</v>
      </c>
      <c r="E35" s="3">
        <v>45843</v>
      </c>
      <c r="F35" s="3" t="s">
        <v>132</v>
      </c>
      <c r="G35" t="s">
        <v>133</v>
      </c>
      <c r="H35" t="s">
        <v>25</v>
      </c>
      <c r="J35" t="s">
        <v>21</v>
      </c>
      <c r="K35" t="str">
        <f t="shared" si="0"/>
        <v>Nicole Shaw</v>
      </c>
      <c r="L35" t="str">
        <f t="shared" si="1"/>
        <v>Male</v>
      </c>
      <c r="M35" t="str">
        <f t="shared" si="2"/>
        <v>Mr. Brian Morton</v>
      </c>
      <c r="N35" s="4" t="str">
        <f t="shared" si="3"/>
        <v>Neurology</v>
      </c>
      <c r="O35" s="6" t="str">
        <f t="shared" si="4"/>
        <v>0.00</v>
      </c>
      <c r="P35" s="4" t="str">
        <f t="shared" si="5"/>
        <v>Yes</v>
      </c>
      <c r="Q35" s="4" t="str">
        <f>IF(OR(A35="",C35="",L35="Missing",M35="Missing",O35="0.00",K35="Missing"),"Review","OK")</f>
        <v>Review</v>
      </c>
    </row>
    <row r="36" spans="1:17" x14ac:dyDescent="0.3">
      <c r="A36">
        <v>1071</v>
      </c>
      <c r="B36" t="s">
        <v>134</v>
      </c>
      <c r="C36">
        <v>46</v>
      </c>
      <c r="D36">
        <v>0</v>
      </c>
      <c r="E36" s="3">
        <v>46032</v>
      </c>
      <c r="F36" s="3">
        <v>45597</v>
      </c>
      <c r="G36" t="s">
        <v>135</v>
      </c>
      <c r="H36" t="s">
        <v>29</v>
      </c>
      <c r="I36" t="s">
        <v>136</v>
      </c>
      <c r="J36" t="s">
        <v>31</v>
      </c>
      <c r="K36" t="str">
        <f t="shared" si="0"/>
        <v>Michele Park</v>
      </c>
      <c r="L36" t="str">
        <f t="shared" si="1"/>
        <v>Male</v>
      </c>
      <c r="M36" t="str">
        <f t="shared" si="2"/>
        <v>Robert Sparks</v>
      </c>
      <c r="N36" s="4" t="str">
        <f t="shared" si="3"/>
        <v>General</v>
      </c>
      <c r="O36" s="6">
        <f t="shared" si="4"/>
        <v>396.22</v>
      </c>
      <c r="P36" s="4" t="str">
        <f t="shared" si="5"/>
        <v>No</v>
      </c>
      <c r="Q36" s="4" t="str">
        <f>IF(OR(A36="",C36="",L36="Missing",M36="Missing",O36="0.00",K36="Missing"),"Review","OK")</f>
        <v>OK</v>
      </c>
    </row>
    <row r="37" spans="1:17" x14ac:dyDescent="0.3">
      <c r="A37">
        <v>1051</v>
      </c>
      <c r="B37" t="s">
        <v>137</v>
      </c>
      <c r="C37">
        <v>26</v>
      </c>
      <c r="D37" t="s">
        <v>76</v>
      </c>
      <c r="E37" s="3">
        <v>45815</v>
      </c>
      <c r="F37" s="3">
        <v>45635</v>
      </c>
      <c r="G37" t="s">
        <v>138</v>
      </c>
      <c r="H37" t="s">
        <v>19</v>
      </c>
      <c r="I37" t="s">
        <v>139</v>
      </c>
      <c r="J37" t="s">
        <v>39</v>
      </c>
      <c r="K37" t="str">
        <f t="shared" si="0"/>
        <v>Leslie Silva</v>
      </c>
      <c r="L37" t="str">
        <f t="shared" si="1"/>
        <v>Male</v>
      </c>
      <c r="M37" t="str">
        <f t="shared" si="2"/>
        <v>Thomas Brandt</v>
      </c>
      <c r="N37" s="4" t="str">
        <f t="shared" si="3"/>
        <v>Orthopedics</v>
      </c>
      <c r="O37" s="6">
        <f t="shared" si="4"/>
        <v>340.25</v>
      </c>
      <c r="P37" s="4" t="str">
        <f t="shared" si="5"/>
        <v>Yes</v>
      </c>
      <c r="Q37" s="4" t="str">
        <f>IF(OR(A37="",C37="",L37="Missing",M37="Missing",O37="0.00",K37="Missing"),"Review","OK")</f>
        <v>OK</v>
      </c>
    </row>
    <row r="38" spans="1:17" x14ac:dyDescent="0.3">
      <c r="A38">
        <v>1003</v>
      </c>
      <c r="B38" t="s">
        <v>140</v>
      </c>
      <c r="C38">
        <v>19</v>
      </c>
      <c r="E38" s="3">
        <v>45946</v>
      </c>
      <c r="F38" s="3" t="s">
        <v>141</v>
      </c>
      <c r="G38" t="s">
        <v>142</v>
      </c>
      <c r="H38" t="s">
        <v>25</v>
      </c>
      <c r="I38" t="s">
        <v>143</v>
      </c>
      <c r="J38">
        <v>0</v>
      </c>
      <c r="K38" t="str">
        <f t="shared" si="0"/>
        <v>Katelyn Smith</v>
      </c>
      <c r="L38" t="str">
        <f t="shared" si="1"/>
        <v>Missing</v>
      </c>
      <c r="M38" t="str">
        <f t="shared" si="2"/>
        <v>Robert Henry</v>
      </c>
      <c r="N38" s="4" t="str">
        <f t="shared" si="3"/>
        <v>Neurology</v>
      </c>
      <c r="O38" s="6">
        <f t="shared" si="4"/>
        <v>481.44</v>
      </c>
      <c r="P38" s="4" t="str">
        <f t="shared" si="5"/>
        <v>No</v>
      </c>
      <c r="Q38" s="4" t="str">
        <f>IF(OR(A38="",C38="",L38="Missing",M38="Missing",O38="0.00",K38="Missing"),"Review","OK")</f>
        <v>Review</v>
      </c>
    </row>
    <row r="39" spans="1:17" x14ac:dyDescent="0.3">
      <c r="A39">
        <v>1053</v>
      </c>
      <c r="B39" t="s">
        <v>144</v>
      </c>
      <c r="C39">
        <v>37</v>
      </c>
      <c r="D39">
        <v>1</v>
      </c>
      <c r="E39" s="3">
        <v>45915</v>
      </c>
      <c r="F39" s="3">
        <v>45421</v>
      </c>
      <c r="G39" t="s">
        <v>145</v>
      </c>
      <c r="H39" t="s">
        <v>19</v>
      </c>
      <c r="I39" t="s">
        <v>146</v>
      </c>
      <c r="J39">
        <v>0</v>
      </c>
      <c r="K39" t="str">
        <f t="shared" si="0"/>
        <v>John Yang</v>
      </c>
      <c r="L39" t="str">
        <f t="shared" si="1"/>
        <v>Female</v>
      </c>
      <c r="M39" t="str">
        <f t="shared" si="2"/>
        <v>Anthony Jensen</v>
      </c>
      <c r="N39" s="4" t="str">
        <f t="shared" si="3"/>
        <v>Orthopedics</v>
      </c>
      <c r="O39" s="6">
        <f t="shared" si="4"/>
        <v>442.77</v>
      </c>
      <c r="P39" s="4" t="str">
        <f t="shared" si="5"/>
        <v>No</v>
      </c>
      <c r="Q39" s="4" t="str">
        <f>IF(OR(A39="",C39="",L39="Missing",M39="Missing",O39="0.00",K39="Missing"),"Review","OK")</f>
        <v>OK</v>
      </c>
    </row>
    <row r="40" spans="1:17" x14ac:dyDescent="0.3">
      <c r="A40">
        <v>1052</v>
      </c>
      <c r="B40" t="s">
        <v>147</v>
      </c>
      <c r="C40">
        <v>84</v>
      </c>
      <c r="D40">
        <v>0</v>
      </c>
      <c r="E40" s="3">
        <v>45908</v>
      </c>
      <c r="F40" s="3">
        <v>45793</v>
      </c>
      <c r="G40" t="s">
        <v>148</v>
      </c>
      <c r="H40" t="s">
        <v>19</v>
      </c>
      <c r="I40" t="s">
        <v>149</v>
      </c>
      <c r="J40">
        <v>0</v>
      </c>
      <c r="K40" t="str">
        <f t="shared" si="0"/>
        <v>Judy Blair</v>
      </c>
      <c r="L40" t="str">
        <f t="shared" si="1"/>
        <v>Male</v>
      </c>
      <c r="M40" t="str">
        <f t="shared" si="2"/>
        <v>Kevin Benton</v>
      </c>
      <c r="N40" s="4" t="str">
        <f t="shared" si="3"/>
        <v>Orthopedics</v>
      </c>
      <c r="O40" s="6">
        <f t="shared" si="4"/>
        <v>175.63</v>
      </c>
      <c r="P40" s="4" t="str">
        <f t="shared" si="5"/>
        <v>No</v>
      </c>
      <c r="Q40" s="4" t="str">
        <f>IF(OR(A40="",C40="",L40="Missing",M40="Missing",O40="0.00",K40="Missing"),"Review","OK")</f>
        <v>OK</v>
      </c>
    </row>
    <row r="41" spans="1:17" x14ac:dyDescent="0.3">
      <c r="A41">
        <v>1018</v>
      </c>
      <c r="B41" t="s">
        <v>150</v>
      </c>
      <c r="C41">
        <v>55</v>
      </c>
      <c r="D41" t="s">
        <v>16</v>
      </c>
      <c r="E41" s="3">
        <v>46082</v>
      </c>
      <c r="F41" s="3">
        <v>45446</v>
      </c>
      <c r="G41" t="s">
        <v>151</v>
      </c>
      <c r="H41" t="s">
        <v>25</v>
      </c>
      <c r="I41" t="s">
        <v>152</v>
      </c>
      <c r="J41">
        <v>0</v>
      </c>
      <c r="K41" t="str">
        <f t="shared" si="0"/>
        <v>Jennifer Long</v>
      </c>
      <c r="L41" t="str">
        <f t="shared" si="1"/>
        <v>Female</v>
      </c>
      <c r="M41" t="str">
        <f t="shared" si="2"/>
        <v>Thomas Hernandez</v>
      </c>
      <c r="N41" s="4" t="str">
        <f t="shared" si="3"/>
        <v>Neurology</v>
      </c>
      <c r="O41" s="6">
        <f t="shared" si="4"/>
        <v>320.66000000000003</v>
      </c>
      <c r="P41" s="4" t="str">
        <f t="shared" si="5"/>
        <v>No</v>
      </c>
      <c r="Q41" s="4" t="str">
        <f>IF(OR(A41="",C41="",L41="Missing",M41="Missing",O41="0.00",K41="Missing"),"Review","OK")</f>
        <v>OK</v>
      </c>
    </row>
    <row r="42" spans="1:17" x14ac:dyDescent="0.3">
      <c r="A42">
        <v>1001</v>
      </c>
      <c r="B42" t="s">
        <v>153</v>
      </c>
      <c r="C42">
        <v>50</v>
      </c>
      <c r="D42" t="s">
        <v>76</v>
      </c>
      <c r="E42" s="3">
        <v>45886</v>
      </c>
      <c r="F42" s="3">
        <v>45558</v>
      </c>
      <c r="G42" t="s">
        <v>154</v>
      </c>
      <c r="H42" t="s">
        <v>19</v>
      </c>
      <c r="I42" t="s">
        <v>155</v>
      </c>
      <c r="J42" t="s">
        <v>39</v>
      </c>
      <c r="K42" t="str">
        <f t="shared" si="0"/>
        <v>Melanie Gibson</v>
      </c>
      <c r="L42" t="str">
        <f t="shared" si="1"/>
        <v>Male</v>
      </c>
      <c r="M42" t="str">
        <f t="shared" si="2"/>
        <v>Alison Stanton</v>
      </c>
      <c r="N42" s="4" t="str">
        <f t="shared" si="3"/>
        <v>Orthopedics</v>
      </c>
      <c r="O42" s="6">
        <f t="shared" si="4"/>
        <v>268.14</v>
      </c>
      <c r="P42" s="4" t="str">
        <f t="shared" si="5"/>
        <v>Yes</v>
      </c>
      <c r="Q42" s="4" t="str">
        <f>IF(OR(A42="",C42="",L42="Missing",M42="Missing",O42="0.00",K42="Missing"),"Review","OK")</f>
        <v>OK</v>
      </c>
    </row>
    <row r="43" spans="1:17" x14ac:dyDescent="0.3">
      <c r="A43">
        <v>1060</v>
      </c>
      <c r="B43" t="s">
        <v>156</v>
      </c>
      <c r="C43">
        <v>61</v>
      </c>
      <c r="D43">
        <v>1</v>
      </c>
      <c r="E43" s="3">
        <v>45980</v>
      </c>
      <c r="F43" s="3">
        <v>45410</v>
      </c>
      <c r="G43" t="s">
        <v>157</v>
      </c>
      <c r="H43" t="s">
        <v>29</v>
      </c>
      <c r="I43" t="s">
        <v>158</v>
      </c>
      <c r="J43" t="s">
        <v>21</v>
      </c>
      <c r="K43" t="str">
        <f t="shared" si="0"/>
        <v>Amanda Jones</v>
      </c>
      <c r="L43" t="str">
        <f t="shared" si="1"/>
        <v>Female</v>
      </c>
      <c r="M43" t="str">
        <f t="shared" si="2"/>
        <v>Christopher Morris</v>
      </c>
      <c r="N43" s="4" t="str">
        <f t="shared" si="3"/>
        <v>General</v>
      </c>
      <c r="O43" s="6">
        <f t="shared" si="4"/>
        <v>499.75</v>
      </c>
      <c r="P43" s="4" t="str">
        <f t="shared" si="5"/>
        <v>Yes</v>
      </c>
      <c r="Q43" s="4" t="str">
        <f>IF(OR(A43="",C43="",L43="Missing",M43="Missing",O43="0.00",K43="Missing"),"Review","OK")</f>
        <v>OK</v>
      </c>
    </row>
    <row r="44" spans="1:17" x14ac:dyDescent="0.3">
      <c r="A44">
        <v>1055</v>
      </c>
      <c r="B44" t="s">
        <v>159</v>
      </c>
      <c r="C44">
        <v>35</v>
      </c>
      <c r="D44" t="s">
        <v>76</v>
      </c>
      <c r="E44" s="3">
        <v>45801</v>
      </c>
      <c r="F44" s="3">
        <v>45491</v>
      </c>
      <c r="G44" t="s">
        <v>160</v>
      </c>
      <c r="H44" t="s">
        <v>19</v>
      </c>
      <c r="I44" t="s">
        <v>161</v>
      </c>
      <c r="J44">
        <v>1</v>
      </c>
      <c r="K44" t="str">
        <f t="shared" si="0"/>
        <v>Donna West</v>
      </c>
      <c r="L44" t="str">
        <f t="shared" si="1"/>
        <v>Male</v>
      </c>
      <c r="M44" t="str">
        <f t="shared" si="2"/>
        <v>Troy Hill</v>
      </c>
      <c r="N44" s="4" t="str">
        <f t="shared" si="3"/>
        <v>Orthopedics</v>
      </c>
      <c r="O44" s="6">
        <f t="shared" si="4"/>
        <v>452.11</v>
      </c>
      <c r="P44" s="4" t="str">
        <f t="shared" si="5"/>
        <v>Yes</v>
      </c>
      <c r="Q44" s="4" t="str">
        <f>IF(OR(A44="",C44="",L44="Missing",M44="Missing",O44="0.00",K44="Missing"),"Review","OK")</f>
        <v>OK</v>
      </c>
    </row>
    <row r="45" spans="1:17" x14ac:dyDescent="0.3">
      <c r="A45">
        <v>1063</v>
      </c>
      <c r="B45" t="s">
        <v>162</v>
      </c>
      <c r="C45">
        <v>29</v>
      </c>
      <c r="E45" s="3">
        <v>45916</v>
      </c>
      <c r="F45" s="3">
        <v>45776</v>
      </c>
      <c r="G45" t="s">
        <v>163</v>
      </c>
      <c r="H45" t="s">
        <v>19</v>
      </c>
      <c r="I45" t="s">
        <v>164</v>
      </c>
      <c r="J45">
        <v>0</v>
      </c>
      <c r="K45" t="str">
        <f t="shared" si="0"/>
        <v>Edward Sanders</v>
      </c>
      <c r="L45" t="str">
        <f t="shared" si="1"/>
        <v>Missing</v>
      </c>
      <c r="M45" t="str">
        <f t="shared" si="2"/>
        <v>Steven Bailey</v>
      </c>
      <c r="N45" s="4" t="str">
        <f t="shared" si="3"/>
        <v>Orthopedics</v>
      </c>
      <c r="O45" s="6">
        <f t="shared" si="4"/>
        <v>479.77</v>
      </c>
      <c r="P45" s="4" t="str">
        <f t="shared" si="5"/>
        <v>No</v>
      </c>
      <c r="Q45" s="4" t="str">
        <f>IF(OR(A45="",C45="",L45="Missing",M45="Missing",O45="0.00",K45="Missing"),"Review","OK")</f>
        <v>Review</v>
      </c>
    </row>
    <row r="46" spans="1:17" x14ac:dyDescent="0.3">
      <c r="A46">
        <v>1069</v>
      </c>
      <c r="B46" t="s">
        <v>165</v>
      </c>
      <c r="C46">
        <v>72</v>
      </c>
      <c r="D46">
        <v>0</v>
      </c>
      <c r="E46" s="3">
        <v>45880</v>
      </c>
      <c r="F46" s="3">
        <v>45383</v>
      </c>
      <c r="G46" t="s">
        <v>166</v>
      </c>
      <c r="H46" t="s">
        <v>25</v>
      </c>
      <c r="I46" t="s">
        <v>167</v>
      </c>
      <c r="J46" t="s">
        <v>21</v>
      </c>
      <c r="K46" t="str">
        <f t="shared" si="0"/>
        <v>Michael Levine</v>
      </c>
      <c r="L46" t="str">
        <f t="shared" si="1"/>
        <v>Male</v>
      </c>
      <c r="M46" t="str">
        <f t="shared" si="2"/>
        <v>Janet Ray</v>
      </c>
      <c r="N46" s="4" t="str">
        <f t="shared" si="3"/>
        <v>Neurology</v>
      </c>
      <c r="O46" s="6">
        <f t="shared" si="4"/>
        <v>213.35</v>
      </c>
      <c r="P46" s="4" t="str">
        <f t="shared" si="5"/>
        <v>Yes</v>
      </c>
      <c r="Q46" s="4" t="str">
        <f>IF(OR(A46="",C46="",L46="Missing",M46="Missing",O46="0.00",K46="Missing"),"Review","OK")</f>
        <v>OK</v>
      </c>
    </row>
    <row r="47" spans="1:17" x14ac:dyDescent="0.3">
      <c r="A47">
        <v>1095</v>
      </c>
      <c r="B47" t="s">
        <v>168</v>
      </c>
      <c r="C47">
        <v>29</v>
      </c>
      <c r="D47">
        <v>0</v>
      </c>
      <c r="E47" s="3">
        <v>45891</v>
      </c>
      <c r="F47" s="3">
        <v>45772</v>
      </c>
      <c r="G47" t="s">
        <v>169</v>
      </c>
      <c r="H47" t="s">
        <v>25</v>
      </c>
      <c r="I47" t="s">
        <v>170</v>
      </c>
      <c r="J47" t="s">
        <v>39</v>
      </c>
      <c r="K47" t="str">
        <f t="shared" si="0"/>
        <v>Loretta Richardson</v>
      </c>
      <c r="L47" t="str">
        <f t="shared" si="1"/>
        <v>Male</v>
      </c>
      <c r="M47" t="str">
        <f t="shared" si="2"/>
        <v>Shane Jackson</v>
      </c>
      <c r="N47" s="4" t="str">
        <f t="shared" si="3"/>
        <v>Neurology</v>
      </c>
      <c r="O47" s="6">
        <f t="shared" si="4"/>
        <v>120.34</v>
      </c>
      <c r="P47" s="4" t="str">
        <f t="shared" si="5"/>
        <v>Yes</v>
      </c>
      <c r="Q47" s="4" t="str">
        <f>IF(OR(A47="",C47="",L47="Missing",M47="Missing",O47="0.00",K47="Missing"),"Review","OK")</f>
        <v>OK</v>
      </c>
    </row>
    <row r="48" spans="1:17" x14ac:dyDescent="0.3">
      <c r="A48">
        <v>1005</v>
      </c>
      <c r="B48" t="s">
        <v>171</v>
      </c>
      <c r="C48">
        <v>49</v>
      </c>
      <c r="D48">
        <v>1</v>
      </c>
      <c r="E48" s="3">
        <v>45997</v>
      </c>
      <c r="F48" s="3">
        <v>45515</v>
      </c>
      <c r="G48" t="s">
        <v>172</v>
      </c>
      <c r="H48" t="s">
        <v>13</v>
      </c>
      <c r="I48" t="s">
        <v>173</v>
      </c>
      <c r="J48" t="s">
        <v>65</v>
      </c>
      <c r="K48" t="str">
        <f t="shared" si="0"/>
        <v>Kathleen Jones</v>
      </c>
      <c r="L48" t="str">
        <f t="shared" si="1"/>
        <v>Female</v>
      </c>
      <c r="M48" t="str">
        <f t="shared" si="2"/>
        <v>Diana Baker</v>
      </c>
      <c r="N48" s="4" t="str">
        <f t="shared" si="3"/>
        <v>Cardiology</v>
      </c>
      <c r="O48" s="6">
        <f t="shared" si="4"/>
        <v>135.43</v>
      </c>
      <c r="P48" s="4" t="str">
        <f t="shared" si="5"/>
        <v>No</v>
      </c>
      <c r="Q48" s="4" t="str">
        <f>IF(OR(A48="",C48="",L48="Missing",M48="Missing",O48="0.00",K48="Missing"),"Review","OK")</f>
        <v>OK</v>
      </c>
    </row>
    <row r="49" spans="1:17" x14ac:dyDescent="0.3">
      <c r="A49">
        <v>1001</v>
      </c>
      <c r="B49" t="s">
        <v>174</v>
      </c>
      <c r="C49">
        <v>64</v>
      </c>
      <c r="D49" t="s">
        <v>11</v>
      </c>
      <c r="E49" s="3">
        <v>45867</v>
      </c>
      <c r="F49" s="3">
        <v>45451</v>
      </c>
      <c r="G49" t="s">
        <v>175</v>
      </c>
      <c r="H49" t="s">
        <v>19</v>
      </c>
      <c r="I49" t="s">
        <v>176</v>
      </c>
      <c r="J49" t="s">
        <v>65</v>
      </c>
      <c r="K49" t="str">
        <f t="shared" si="0"/>
        <v>Michael Allen</v>
      </c>
      <c r="L49" t="str">
        <f t="shared" si="1"/>
        <v>Female</v>
      </c>
      <c r="M49" t="str">
        <f t="shared" si="2"/>
        <v>Brian Osborne Dvm</v>
      </c>
      <c r="N49" s="4" t="str">
        <f t="shared" si="3"/>
        <v>Orthopedics</v>
      </c>
      <c r="O49" s="6">
        <f t="shared" si="4"/>
        <v>214.44</v>
      </c>
      <c r="P49" s="4" t="str">
        <f t="shared" si="5"/>
        <v>No</v>
      </c>
      <c r="Q49" s="4" t="str">
        <f>IF(OR(A49="",C49="",L49="Missing",M49="Missing",O49="0.00",K49="Missing"),"Review","OK")</f>
        <v>OK</v>
      </c>
    </row>
    <row r="50" spans="1:17" x14ac:dyDescent="0.3">
      <c r="A50">
        <v>1024</v>
      </c>
      <c r="B50" t="s">
        <v>177</v>
      </c>
      <c r="C50">
        <v>34</v>
      </c>
      <c r="D50" t="s">
        <v>41</v>
      </c>
      <c r="E50" s="3">
        <v>45931</v>
      </c>
      <c r="F50" s="3">
        <v>45578</v>
      </c>
      <c r="G50" t="s">
        <v>178</v>
      </c>
      <c r="H50" t="s">
        <v>19</v>
      </c>
      <c r="I50" t="s">
        <v>179</v>
      </c>
      <c r="J50" t="s">
        <v>31</v>
      </c>
      <c r="K50" t="str">
        <f t="shared" si="0"/>
        <v>Kari Jackson</v>
      </c>
      <c r="L50" t="str">
        <f t="shared" si="1"/>
        <v>Female</v>
      </c>
      <c r="M50" t="str">
        <f t="shared" si="2"/>
        <v>Jeremiah Rose</v>
      </c>
      <c r="N50" s="4" t="str">
        <f t="shared" si="3"/>
        <v>Orthopedics</v>
      </c>
      <c r="O50" s="6">
        <f t="shared" si="4"/>
        <v>376.08</v>
      </c>
      <c r="P50" s="4" t="str">
        <f t="shared" si="5"/>
        <v>No</v>
      </c>
      <c r="Q50" s="4" t="str">
        <f>IF(OR(A50="",C50="",L50="Missing",M50="Missing",O50="0.00",K50="Missing"),"Review","OK")</f>
        <v>OK</v>
      </c>
    </row>
    <row r="51" spans="1:17" x14ac:dyDescent="0.3">
      <c r="A51">
        <v>1016</v>
      </c>
      <c r="B51" t="s">
        <v>180</v>
      </c>
      <c r="C51">
        <v>35</v>
      </c>
      <c r="D51">
        <v>0</v>
      </c>
      <c r="E51" s="3">
        <v>46021</v>
      </c>
      <c r="F51" s="3">
        <v>45747</v>
      </c>
      <c r="G51" t="s">
        <v>181</v>
      </c>
      <c r="H51" t="s">
        <v>19</v>
      </c>
      <c r="I51" t="s">
        <v>182</v>
      </c>
      <c r="J51">
        <v>1</v>
      </c>
      <c r="K51" t="str">
        <f t="shared" si="0"/>
        <v>Kim Allen</v>
      </c>
      <c r="L51" t="str">
        <f t="shared" si="1"/>
        <v>Male</v>
      </c>
      <c r="M51" t="str">
        <f t="shared" si="2"/>
        <v>Nancy Levine Md</v>
      </c>
      <c r="N51" s="4" t="str">
        <f t="shared" si="3"/>
        <v>Orthopedics</v>
      </c>
      <c r="O51" s="6">
        <f t="shared" si="4"/>
        <v>343.51</v>
      </c>
      <c r="P51" s="4" t="str">
        <f t="shared" si="5"/>
        <v>Yes</v>
      </c>
      <c r="Q51" s="4" t="str">
        <f>IF(OR(A51="",C51="",L51="Missing",M51="Missing",O51="0.00",K51="Missing"),"Review","OK")</f>
        <v>OK</v>
      </c>
    </row>
    <row r="52" spans="1:17" x14ac:dyDescent="0.3">
      <c r="A52">
        <v>1040</v>
      </c>
      <c r="B52" t="s">
        <v>183</v>
      </c>
      <c r="C52">
        <v>26</v>
      </c>
      <c r="D52" t="s">
        <v>56</v>
      </c>
      <c r="E52" s="3" t="s">
        <v>184</v>
      </c>
      <c r="F52" s="3">
        <v>45446</v>
      </c>
      <c r="G52" t="s">
        <v>185</v>
      </c>
      <c r="H52" t="s">
        <v>13</v>
      </c>
      <c r="I52" t="s">
        <v>186</v>
      </c>
      <c r="J52" t="s">
        <v>39</v>
      </c>
      <c r="K52" t="str">
        <f t="shared" si="0"/>
        <v>Regina Wilson</v>
      </c>
      <c r="L52" t="str">
        <f t="shared" si="1"/>
        <v>Male</v>
      </c>
      <c r="M52" t="str">
        <f t="shared" si="2"/>
        <v>Jenny Zuniga</v>
      </c>
      <c r="N52" s="4" t="str">
        <f t="shared" si="3"/>
        <v>Cardiology</v>
      </c>
      <c r="O52" s="6">
        <f t="shared" si="4"/>
        <v>185.66</v>
      </c>
      <c r="P52" s="4" t="str">
        <f t="shared" si="5"/>
        <v>Yes</v>
      </c>
      <c r="Q52" s="4" t="str">
        <f>IF(OR(A52="",C52="",L52="Missing",M52="Missing",O52="0.00",K52="Missing"),"Review","OK")</f>
        <v>OK</v>
      </c>
    </row>
    <row r="53" spans="1:17" x14ac:dyDescent="0.3">
      <c r="A53">
        <v>1042</v>
      </c>
      <c r="B53" t="s">
        <v>187</v>
      </c>
      <c r="C53">
        <v>30</v>
      </c>
      <c r="D53">
        <v>1</v>
      </c>
      <c r="E53" s="3">
        <v>45996</v>
      </c>
      <c r="F53" s="3">
        <v>45538</v>
      </c>
      <c r="G53" t="s">
        <v>188</v>
      </c>
      <c r="H53" t="s">
        <v>25</v>
      </c>
      <c r="I53" t="s">
        <v>189</v>
      </c>
      <c r="J53" t="s">
        <v>21</v>
      </c>
      <c r="K53" t="str">
        <f t="shared" si="0"/>
        <v>Samantha Mosley</v>
      </c>
      <c r="L53" t="str">
        <f t="shared" si="1"/>
        <v>Female</v>
      </c>
      <c r="M53" t="str">
        <f t="shared" si="2"/>
        <v>Thomas Thomas</v>
      </c>
      <c r="N53" s="4" t="str">
        <f t="shared" si="3"/>
        <v>Neurology</v>
      </c>
      <c r="O53" s="6">
        <f t="shared" si="4"/>
        <v>200.01</v>
      </c>
      <c r="P53" s="4" t="str">
        <f t="shared" si="5"/>
        <v>Yes</v>
      </c>
      <c r="Q53" s="4" t="str">
        <f>IF(OR(A53="",C53="",L53="Missing",M53="Missing",O53="0.00",K53="Missing"),"Review","OK")</f>
        <v>OK</v>
      </c>
    </row>
    <row r="54" spans="1:17" x14ac:dyDescent="0.3">
      <c r="A54">
        <v>1015</v>
      </c>
      <c r="B54" t="s">
        <v>190</v>
      </c>
      <c r="C54">
        <v>66</v>
      </c>
      <c r="D54" t="s">
        <v>76</v>
      </c>
      <c r="E54" s="3">
        <v>46050</v>
      </c>
      <c r="F54" s="3">
        <v>45783</v>
      </c>
      <c r="G54" t="s">
        <v>191</v>
      </c>
      <c r="H54" t="s">
        <v>25</v>
      </c>
      <c r="I54" t="s">
        <v>192</v>
      </c>
      <c r="J54">
        <v>0</v>
      </c>
      <c r="K54" t="str">
        <f t="shared" si="0"/>
        <v>Kathleen Porter</v>
      </c>
      <c r="L54" t="str">
        <f t="shared" si="1"/>
        <v>Male</v>
      </c>
      <c r="M54" t="str">
        <f t="shared" si="2"/>
        <v>Christine Calhoun</v>
      </c>
      <c r="N54" s="4" t="str">
        <f t="shared" si="3"/>
        <v>Neurology</v>
      </c>
      <c r="O54" s="6">
        <f t="shared" si="4"/>
        <v>367.06</v>
      </c>
      <c r="P54" s="4" t="str">
        <f t="shared" si="5"/>
        <v>No</v>
      </c>
      <c r="Q54" s="4" t="str">
        <f>IF(OR(A54="",C54="",L54="Missing",M54="Missing",O54="0.00",K54="Missing"),"Review","OK")</f>
        <v>OK</v>
      </c>
    </row>
    <row r="55" spans="1:17" x14ac:dyDescent="0.3">
      <c r="A55">
        <v>1053</v>
      </c>
      <c r="B55" t="s">
        <v>193</v>
      </c>
      <c r="C55">
        <v>49</v>
      </c>
      <c r="D55" t="s">
        <v>56</v>
      </c>
      <c r="E55" s="3">
        <v>45875</v>
      </c>
      <c r="F55" s="3">
        <v>45739</v>
      </c>
      <c r="G55" t="s">
        <v>194</v>
      </c>
      <c r="H55" t="s">
        <v>25</v>
      </c>
      <c r="I55" t="s">
        <v>195</v>
      </c>
      <c r="J55">
        <v>1</v>
      </c>
      <c r="K55" t="str">
        <f t="shared" si="0"/>
        <v>Cheryl Michael</v>
      </c>
      <c r="L55" t="str">
        <f t="shared" si="1"/>
        <v>Male</v>
      </c>
      <c r="M55" t="str">
        <f t="shared" si="2"/>
        <v>Thomas Bennett</v>
      </c>
      <c r="N55" s="4" t="str">
        <f t="shared" si="3"/>
        <v>Neurology</v>
      </c>
      <c r="O55" s="6">
        <f t="shared" si="4"/>
        <v>393.4</v>
      </c>
      <c r="P55" s="4" t="str">
        <f t="shared" si="5"/>
        <v>Yes</v>
      </c>
      <c r="Q55" s="4" t="str">
        <f>IF(OR(A55="",C55="",L55="Missing",M55="Missing",O55="0.00",K55="Missing"),"Review","OK")</f>
        <v>OK</v>
      </c>
    </row>
    <row r="56" spans="1:17" x14ac:dyDescent="0.3">
      <c r="A56">
        <v>1063</v>
      </c>
      <c r="B56" t="s">
        <v>196</v>
      </c>
      <c r="C56">
        <v>62</v>
      </c>
      <c r="D56" t="s">
        <v>41</v>
      </c>
      <c r="E56" s="3">
        <v>46032</v>
      </c>
      <c r="F56" s="3">
        <v>45637</v>
      </c>
      <c r="G56" t="s">
        <v>197</v>
      </c>
      <c r="H56" t="s">
        <v>25</v>
      </c>
      <c r="I56" t="s">
        <v>198</v>
      </c>
      <c r="J56">
        <v>0</v>
      </c>
      <c r="K56" t="str">
        <f t="shared" si="0"/>
        <v>Lawrence Rios</v>
      </c>
      <c r="L56" t="str">
        <f t="shared" si="1"/>
        <v>Female</v>
      </c>
      <c r="M56" t="str">
        <f t="shared" si="2"/>
        <v>Christopher Lee</v>
      </c>
      <c r="N56" s="4" t="str">
        <f t="shared" si="3"/>
        <v>Neurology</v>
      </c>
      <c r="O56" s="6">
        <f t="shared" si="4"/>
        <v>387.4</v>
      </c>
      <c r="P56" s="4" t="str">
        <f t="shared" si="5"/>
        <v>No</v>
      </c>
      <c r="Q56" s="4" t="str">
        <f>IF(OR(A56="",C56="",L56="Missing",M56="Missing",O56="0.00",K56="Missing"),"Review","OK")</f>
        <v>OK</v>
      </c>
    </row>
    <row r="57" spans="1:17" x14ac:dyDescent="0.3">
      <c r="A57">
        <v>1068</v>
      </c>
      <c r="B57" t="s">
        <v>199</v>
      </c>
      <c r="C57">
        <v>63</v>
      </c>
      <c r="D57" t="s">
        <v>16</v>
      </c>
      <c r="E57" s="3">
        <v>45970</v>
      </c>
      <c r="F57" s="3">
        <v>45910</v>
      </c>
      <c r="G57" t="s">
        <v>200</v>
      </c>
      <c r="H57" t="s">
        <v>19</v>
      </c>
      <c r="I57" t="s">
        <v>201</v>
      </c>
      <c r="J57" t="s">
        <v>39</v>
      </c>
      <c r="K57" t="str">
        <f t="shared" si="0"/>
        <v>Vanessa Jones</v>
      </c>
      <c r="L57" t="str">
        <f t="shared" si="1"/>
        <v>Female</v>
      </c>
      <c r="M57" t="str">
        <f t="shared" si="2"/>
        <v>Courtney Knight</v>
      </c>
      <c r="N57" s="4" t="str">
        <f t="shared" si="3"/>
        <v>Orthopedics</v>
      </c>
      <c r="O57" s="6">
        <f t="shared" si="4"/>
        <v>169.25</v>
      </c>
      <c r="P57" s="4" t="str">
        <f t="shared" si="5"/>
        <v>Yes</v>
      </c>
      <c r="Q57" s="4" t="str">
        <f>IF(OR(A57="",C57="",L57="Missing",M57="Missing",O57="0.00",K57="Missing"),"Review","OK")</f>
        <v>OK</v>
      </c>
    </row>
    <row r="58" spans="1:17" x14ac:dyDescent="0.3">
      <c r="A58">
        <v>1006</v>
      </c>
      <c r="B58" t="s">
        <v>202</v>
      </c>
      <c r="C58">
        <v>48</v>
      </c>
      <c r="D58">
        <v>0</v>
      </c>
      <c r="E58" s="3">
        <v>45847</v>
      </c>
      <c r="F58" s="3">
        <v>45720</v>
      </c>
      <c r="G58" t="s">
        <v>203</v>
      </c>
      <c r="H58" t="s">
        <v>25</v>
      </c>
      <c r="I58" t="s">
        <v>204</v>
      </c>
      <c r="J58">
        <v>1</v>
      </c>
      <c r="K58" t="str">
        <f t="shared" si="0"/>
        <v>Tiffany Burke</v>
      </c>
      <c r="L58" t="str">
        <f t="shared" si="1"/>
        <v>Male</v>
      </c>
      <c r="M58" t="str">
        <f t="shared" si="2"/>
        <v>Charles Lopez</v>
      </c>
      <c r="N58" s="4" t="str">
        <f t="shared" si="3"/>
        <v>Neurology</v>
      </c>
      <c r="O58" s="6">
        <f t="shared" si="4"/>
        <v>274.81</v>
      </c>
      <c r="P58" s="4" t="str">
        <f t="shared" si="5"/>
        <v>Yes</v>
      </c>
      <c r="Q58" s="4" t="str">
        <f>IF(OR(A58="",C58="",L58="Missing",M58="Missing",O58="0.00",K58="Missing"),"Review","OK")</f>
        <v>OK</v>
      </c>
    </row>
    <row r="59" spans="1:17" x14ac:dyDescent="0.3">
      <c r="A59">
        <v>1047</v>
      </c>
      <c r="B59" t="s">
        <v>205</v>
      </c>
      <c r="C59">
        <v>87</v>
      </c>
      <c r="D59" t="s">
        <v>56</v>
      </c>
      <c r="E59" s="3">
        <v>45874</v>
      </c>
      <c r="F59" s="3">
        <v>45691</v>
      </c>
      <c r="G59" t="s">
        <v>206</v>
      </c>
      <c r="H59" t="s">
        <v>19</v>
      </c>
      <c r="I59" t="s">
        <v>207</v>
      </c>
      <c r="J59">
        <v>1</v>
      </c>
      <c r="K59" t="str">
        <f t="shared" si="0"/>
        <v>Joseph Church</v>
      </c>
      <c r="L59" t="str">
        <f t="shared" si="1"/>
        <v>Male</v>
      </c>
      <c r="M59" t="str">
        <f t="shared" si="2"/>
        <v>Ricky Velazquez</v>
      </c>
      <c r="N59" s="4" t="str">
        <f t="shared" si="3"/>
        <v>Orthopedics</v>
      </c>
      <c r="O59" s="6">
        <f t="shared" si="4"/>
        <v>68.81</v>
      </c>
      <c r="P59" s="4" t="str">
        <f t="shared" si="5"/>
        <v>Yes</v>
      </c>
      <c r="Q59" s="4" t="str">
        <f>IF(OR(A59="",C59="",L59="Missing",M59="Missing",O59="0.00",K59="Missing"),"Review","OK")</f>
        <v>OK</v>
      </c>
    </row>
    <row r="60" spans="1:17" x14ac:dyDescent="0.3">
      <c r="A60">
        <v>1095</v>
      </c>
      <c r="B60" t="s">
        <v>208</v>
      </c>
      <c r="C60">
        <v>58</v>
      </c>
      <c r="D60" t="s">
        <v>11</v>
      </c>
      <c r="E60" s="3">
        <v>45753</v>
      </c>
      <c r="F60" s="3">
        <v>45683</v>
      </c>
      <c r="G60" t="s">
        <v>209</v>
      </c>
      <c r="H60" t="s">
        <v>25</v>
      </c>
      <c r="I60" t="s">
        <v>210</v>
      </c>
      <c r="J60">
        <v>0</v>
      </c>
      <c r="K60" t="str">
        <f t="shared" si="0"/>
        <v>Heather Jackson</v>
      </c>
      <c r="L60" t="str">
        <f t="shared" si="1"/>
        <v>Female</v>
      </c>
      <c r="M60" t="str">
        <f t="shared" si="2"/>
        <v>Todd Silva</v>
      </c>
      <c r="N60" s="4" t="str">
        <f t="shared" si="3"/>
        <v>Neurology</v>
      </c>
      <c r="O60" s="6">
        <f t="shared" si="4"/>
        <v>365.13</v>
      </c>
      <c r="P60" s="4" t="str">
        <f t="shared" si="5"/>
        <v>No</v>
      </c>
      <c r="Q60" s="4" t="str">
        <f>IF(OR(A60="",C60="",L60="Missing",M60="Missing",O60="0.00",K60="Missing"),"Review","OK")</f>
        <v>OK</v>
      </c>
    </row>
    <row r="61" spans="1:17" x14ac:dyDescent="0.3">
      <c r="A61">
        <v>1009</v>
      </c>
      <c r="B61" t="s">
        <v>211</v>
      </c>
      <c r="C61">
        <v>63</v>
      </c>
      <c r="D61" t="s">
        <v>76</v>
      </c>
      <c r="E61" s="3">
        <v>45877</v>
      </c>
      <c r="F61" s="3" t="s">
        <v>212</v>
      </c>
      <c r="G61" t="s">
        <v>213</v>
      </c>
      <c r="H61" t="s">
        <v>29</v>
      </c>
      <c r="I61" t="s">
        <v>214</v>
      </c>
      <c r="J61" t="s">
        <v>39</v>
      </c>
      <c r="K61" t="str">
        <f t="shared" si="0"/>
        <v>Adam Sanders</v>
      </c>
      <c r="L61" t="str">
        <f t="shared" si="1"/>
        <v>Male</v>
      </c>
      <c r="M61" t="str">
        <f t="shared" si="2"/>
        <v>Patrick Floyd</v>
      </c>
      <c r="N61" s="4" t="str">
        <f t="shared" si="3"/>
        <v>General</v>
      </c>
      <c r="O61" s="6">
        <f t="shared" si="4"/>
        <v>466.97</v>
      </c>
      <c r="P61" s="4" t="str">
        <f t="shared" si="5"/>
        <v>Yes</v>
      </c>
      <c r="Q61" s="4" t="str">
        <f>IF(OR(A61="",C61="",L61="Missing",M61="Missing",O61="0.00",K61="Missing"),"Review","OK")</f>
        <v>OK</v>
      </c>
    </row>
    <row r="62" spans="1:17" x14ac:dyDescent="0.3">
      <c r="A62">
        <v>1078</v>
      </c>
      <c r="B62" t="s">
        <v>215</v>
      </c>
      <c r="C62">
        <v>54</v>
      </c>
      <c r="D62">
        <v>0</v>
      </c>
      <c r="E62" s="3">
        <v>46000</v>
      </c>
      <c r="F62" s="3">
        <v>45850</v>
      </c>
      <c r="G62" t="s">
        <v>216</v>
      </c>
      <c r="H62" t="s">
        <v>29</v>
      </c>
      <c r="I62" t="s">
        <v>217</v>
      </c>
      <c r="J62" t="s">
        <v>31</v>
      </c>
      <c r="K62" t="str">
        <f t="shared" si="0"/>
        <v>Edward Perry</v>
      </c>
      <c r="L62" t="str">
        <f t="shared" si="1"/>
        <v>Male</v>
      </c>
      <c r="M62" t="str">
        <f t="shared" si="2"/>
        <v>James Miller</v>
      </c>
      <c r="N62" s="4" t="str">
        <f t="shared" si="3"/>
        <v>General</v>
      </c>
      <c r="O62" s="6">
        <f t="shared" si="4"/>
        <v>484.52</v>
      </c>
      <c r="P62" s="4" t="str">
        <f t="shared" si="5"/>
        <v>No</v>
      </c>
      <c r="Q62" s="4" t="str">
        <f>IF(OR(A62="",C62="",L62="Missing",M62="Missing",O62="0.00",K62="Missing"),"Review","OK")</f>
        <v>OK</v>
      </c>
    </row>
    <row r="63" spans="1:17" x14ac:dyDescent="0.3">
      <c r="A63">
        <v>1019</v>
      </c>
      <c r="B63" t="s">
        <v>218</v>
      </c>
      <c r="C63">
        <v>35</v>
      </c>
      <c r="D63" t="s">
        <v>16</v>
      </c>
      <c r="E63" s="3">
        <v>45985</v>
      </c>
      <c r="F63" s="3">
        <v>45601</v>
      </c>
      <c r="G63" t="s">
        <v>219</v>
      </c>
      <c r="H63" t="s">
        <v>19</v>
      </c>
      <c r="I63" t="s">
        <v>220</v>
      </c>
      <c r="J63" t="s">
        <v>39</v>
      </c>
      <c r="K63" t="str">
        <f t="shared" si="0"/>
        <v>Bonnie Boone</v>
      </c>
      <c r="L63" t="str">
        <f t="shared" si="1"/>
        <v>Female</v>
      </c>
      <c r="M63" t="str">
        <f t="shared" si="2"/>
        <v>Lorraine Figueroa</v>
      </c>
      <c r="N63" s="4" t="str">
        <f t="shared" si="3"/>
        <v>Orthopedics</v>
      </c>
      <c r="O63" s="6">
        <f t="shared" si="4"/>
        <v>114.45</v>
      </c>
      <c r="P63" s="4" t="str">
        <f t="shared" si="5"/>
        <v>Yes</v>
      </c>
      <c r="Q63" s="4" t="str">
        <f>IF(OR(A63="",C63="",L63="Missing",M63="Missing",O63="0.00",K63="Missing"),"Review","OK")</f>
        <v>OK</v>
      </c>
    </row>
    <row r="64" spans="1:17" x14ac:dyDescent="0.3">
      <c r="A64">
        <v>1021</v>
      </c>
      <c r="B64" t="s">
        <v>221</v>
      </c>
      <c r="C64">
        <v>39</v>
      </c>
      <c r="D64" t="s">
        <v>23</v>
      </c>
      <c r="E64" s="3">
        <v>45836</v>
      </c>
      <c r="F64" s="3" t="s">
        <v>222</v>
      </c>
      <c r="G64" t="s">
        <v>223</v>
      </c>
      <c r="H64" t="s">
        <v>29</v>
      </c>
      <c r="I64" t="s">
        <v>224</v>
      </c>
      <c r="J64">
        <v>1</v>
      </c>
      <c r="K64" t="str">
        <f t="shared" si="0"/>
        <v>Robert Brown</v>
      </c>
      <c r="L64" t="str">
        <f t="shared" si="1"/>
        <v>Male</v>
      </c>
      <c r="M64" t="str">
        <f t="shared" si="2"/>
        <v>Jamie Sosa</v>
      </c>
      <c r="N64" s="4" t="str">
        <f t="shared" si="3"/>
        <v>General</v>
      </c>
      <c r="O64" s="6">
        <f t="shared" si="4"/>
        <v>195.21</v>
      </c>
      <c r="P64" s="4" t="str">
        <f t="shared" si="5"/>
        <v>Yes</v>
      </c>
      <c r="Q64" s="4" t="str">
        <f>IF(OR(A64="",C64="",L64="Missing",M64="Missing",O64="0.00",K64="Missing"),"Review","OK")</f>
        <v>OK</v>
      </c>
    </row>
    <row r="65" spans="1:17" x14ac:dyDescent="0.3">
      <c r="A65">
        <v>1018</v>
      </c>
      <c r="B65" t="s">
        <v>225</v>
      </c>
      <c r="C65">
        <v>78</v>
      </c>
      <c r="D65">
        <v>1</v>
      </c>
      <c r="E65" s="3" t="s">
        <v>102</v>
      </c>
      <c r="F65" s="3" t="s">
        <v>226</v>
      </c>
      <c r="G65" t="s">
        <v>227</v>
      </c>
      <c r="H65" t="s">
        <v>29</v>
      </c>
      <c r="I65" t="s">
        <v>228</v>
      </c>
      <c r="J65">
        <v>1</v>
      </c>
      <c r="K65" t="str">
        <f t="shared" si="0"/>
        <v>Matthew Cross</v>
      </c>
      <c r="L65" t="str">
        <f t="shared" si="1"/>
        <v>Female</v>
      </c>
      <c r="M65" t="str">
        <f t="shared" si="2"/>
        <v>Connie Wood</v>
      </c>
      <c r="N65" s="4" t="str">
        <f t="shared" si="3"/>
        <v>General</v>
      </c>
      <c r="O65" s="6">
        <f t="shared" si="4"/>
        <v>149.80000000000001</v>
      </c>
      <c r="P65" s="4" t="str">
        <f t="shared" si="5"/>
        <v>Yes</v>
      </c>
      <c r="Q65" s="4" t="str">
        <f>IF(OR(A65="",C65="",L65="Missing",M65="Missing",O65="0.00",K65="Missing"),"Review","OK")</f>
        <v>OK</v>
      </c>
    </row>
    <row r="66" spans="1:17" x14ac:dyDescent="0.3">
      <c r="A66">
        <v>1077</v>
      </c>
      <c r="B66" t="s">
        <v>229</v>
      </c>
      <c r="C66">
        <v>34</v>
      </c>
      <c r="E66" s="3" t="s">
        <v>230</v>
      </c>
      <c r="F66" s="3">
        <v>45630</v>
      </c>
      <c r="G66" t="s">
        <v>231</v>
      </c>
      <c r="H66" t="s">
        <v>25</v>
      </c>
      <c r="I66" t="s">
        <v>232</v>
      </c>
      <c r="J66" t="s">
        <v>65</v>
      </c>
      <c r="K66" t="str">
        <f t="shared" ref="K66:K129" si="6">PROPER(TRIM(CLEAN(B66)))</f>
        <v>Jennifer Stark</v>
      </c>
      <c r="L66" t="str">
        <f t="shared" ref="L66:L129" si="7">_xlfn.LET(_xlpm.x,LOWER(TRIM(D66)),
IF(OR(_xlpm.x="f",_xlpm.x="female",_xlpm.x="1"),"Female",
IF(OR(_xlpm.x="m",_xlpm.x="male",_xlpm.x="0"),"Male",
IF(_xlpm.x="","Missing","Review"))))</f>
        <v>Missing</v>
      </c>
      <c r="M66" t="str">
        <f t="shared" ref="M66:M129" si="8">PROPER(TRIM(CLEAN(G66)))</f>
        <v>Jason Williams</v>
      </c>
      <c r="N66" s="4" t="str">
        <f t="shared" ref="N66:N129" si="9">PROPER(TRIM(CLEAN(H66)))</f>
        <v>Neurology</v>
      </c>
      <c r="O66" s="6">
        <f t="shared" ref="O66:O129" si="10">_xlfn.LET(_xlpm.x,TRIM(I66),IF(_xlpm.x="","0.00",IFERROR(VALUE(SUBSTITUTE(SUBSTITUTE(SUBSTITUTE(SUBSTITUTE(SUBSTITUTE(SUBSTITUTE(_xlpm.x,"Â£",""),"â‚¬",""),"$",""),"Rs",""),"£",""),"€","")),"0.00")))</f>
        <v>270.33</v>
      </c>
      <c r="P66" s="4" t="str">
        <f t="shared" ref="P66:P129" si="11">_xlfn.LET(_xlpm.x,LOWER(TRIM(J66)),
IF(OR(_xlpm.x="y",_xlpm.x="yes",_xlpm.x="1"),"Yes",
IF(OR(_xlpm.x="n",_xlpm.x="no",_xlpm.x="0"),"No",
IF(_xlpm.x="","Missing","Review"))))</f>
        <v>No</v>
      </c>
      <c r="Q66" s="4" t="str">
        <f>IF(OR(A66="",C66="",L66="Missing",M66="Missing",O66="0.00",K66="Missing"),"Review","OK")</f>
        <v>Review</v>
      </c>
    </row>
    <row r="67" spans="1:17" x14ac:dyDescent="0.3">
      <c r="A67">
        <v>1063</v>
      </c>
      <c r="B67" t="s">
        <v>233</v>
      </c>
      <c r="C67">
        <v>21</v>
      </c>
      <c r="D67" t="s">
        <v>56</v>
      </c>
      <c r="E67" s="3">
        <v>45973</v>
      </c>
      <c r="F67" s="3">
        <v>45838</v>
      </c>
      <c r="G67" t="s">
        <v>234</v>
      </c>
      <c r="H67" t="s">
        <v>25</v>
      </c>
      <c r="I67" t="s">
        <v>235</v>
      </c>
      <c r="J67" t="s">
        <v>39</v>
      </c>
      <c r="K67" t="str">
        <f t="shared" si="6"/>
        <v>Jordan Camacho Jr.</v>
      </c>
      <c r="L67" t="str">
        <f t="shared" si="7"/>
        <v>Male</v>
      </c>
      <c r="M67" t="str">
        <f t="shared" si="8"/>
        <v>Alexis Carter</v>
      </c>
      <c r="N67" s="4" t="str">
        <f t="shared" si="9"/>
        <v>Neurology</v>
      </c>
      <c r="O67" s="6">
        <f t="shared" si="10"/>
        <v>186.24</v>
      </c>
      <c r="P67" s="4" t="str">
        <f t="shared" si="11"/>
        <v>Yes</v>
      </c>
      <c r="Q67" s="4" t="str">
        <f>IF(OR(A67="",C67="",L67="Missing",M67="Missing",O67="0.00",K67="Missing"),"Review","OK")</f>
        <v>OK</v>
      </c>
    </row>
    <row r="68" spans="1:17" x14ac:dyDescent="0.3">
      <c r="A68">
        <v>1015</v>
      </c>
      <c r="B68" t="s">
        <v>236</v>
      </c>
      <c r="C68">
        <v>37</v>
      </c>
      <c r="D68">
        <v>0</v>
      </c>
      <c r="E68" s="3">
        <v>45857</v>
      </c>
      <c r="F68" s="3">
        <v>45453</v>
      </c>
      <c r="G68" t="s">
        <v>237</v>
      </c>
      <c r="H68" t="s">
        <v>19</v>
      </c>
      <c r="I68" t="s">
        <v>238</v>
      </c>
      <c r="J68" t="s">
        <v>31</v>
      </c>
      <c r="K68" t="str">
        <f t="shared" si="6"/>
        <v>Elizabeth Bryant</v>
      </c>
      <c r="L68" t="str">
        <f t="shared" si="7"/>
        <v>Male</v>
      </c>
      <c r="M68" t="str">
        <f t="shared" si="8"/>
        <v>Rebecca Kim</v>
      </c>
      <c r="N68" s="4" t="str">
        <f t="shared" si="9"/>
        <v>Orthopedics</v>
      </c>
      <c r="O68" s="6">
        <f t="shared" si="10"/>
        <v>425.63</v>
      </c>
      <c r="P68" s="4" t="str">
        <f t="shared" si="11"/>
        <v>No</v>
      </c>
      <c r="Q68" s="4" t="str">
        <f>IF(OR(A68="",C68="",L68="Missing",M68="Missing",O68="0.00",K68="Missing"),"Review","OK")</f>
        <v>OK</v>
      </c>
    </row>
    <row r="69" spans="1:17" x14ac:dyDescent="0.3">
      <c r="A69">
        <v>1068</v>
      </c>
      <c r="B69" t="s">
        <v>239</v>
      </c>
      <c r="C69">
        <v>60</v>
      </c>
      <c r="D69">
        <v>1</v>
      </c>
      <c r="E69" s="3">
        <v>46072</v>
      </c>
      <c r="F69" s="3">
        <v>45609</v>
      </c>
      <c r="G69" t="s">
        <v>240</v>
      </c>
      <c r="H69" t="s">
        <v>25</v>
      </c>
      <c r="I69" t="s">
        <v>241</v>
      </c>
      <c r="J69">
        <v>1</v>
      </c>
      <c r="K69" t="str">
        <f t="shared" si="6"/>
        <v>Matthew Valdez</v>
      </c>
      <c r="L69" t="str">
        <f t="shared" si="7"/>
        <v>Female</v>
      </c>
      <c r="M69" t="str">
        <f t="shared" si="8"/>
        <v>Rachel Terry</v>
      </c>
      <c r="N69" s="4" t="str">
        <f t="shared" si="9"/>
        <v>Neurology</v>
      </c>
      <c r="O69" s="6">
        <f t="shared" si="10"/>
        <v>91.77</v>
      </c>
      <c r="P69" s="4" t="str">
        <f t="shared" si="11"/>
        <v>Yes</v>
      </c>
      <c r="Q69" s="4" t="str">
        <f>IF(OR(A69="",C69="",L69="Missing",M69="Missing",O69="0.00",K69="Missing"),"Review","OK")</f>
        <v>OK</v>
      </c>
    </row>
    <row r="70" spans="1:17" x14ac:dyDescent="0.3">
      <c r="A70">
        <v>1010</v>
      </c>
      <c r="B70" t="s">
        <v>242</v>
      </c>
      <c r="C70">
        <v>38</v>
      </c>
      <c r="D70" t="s">
        <v>41</v>
      </c>
      <c r="E70" s="3">
        <v>46064</v>
      </c>
      <c r="F70" s="3">
        <v>45928</v>
      </c>
      <c r="G70" t="s">
        <v>243</v>
      </c>
      <c r="H70" t="s">
        <v>19</v>
      </c>
      <c r="I70" t="s">
        <v>244</v>
      </c>
      <c r="J70" t="s">
        <v>65</v>
      </c>
      <c r="K70" t="str">
        <f t="shared" si="6"/>
        <v>Richard Woodard</v>
      </c>
      <c r="L70" t="str">
        <f t="shared" si="7"/>
        <v>Female</v>
      </c>
      <c r="M70" t="str">
        <f t="shared" si="8"/>
        <v>Whitney Hoffman</v>
      </c>
      <c r="N70" s="4" t="str">
        <f t="shared" si="9"/>
        <v>Orthopedics</v>
      </c>
      <c r="O70" s="6">
        <f t="shared" si="10"/>
        <v>91.27</v>
      </c>
      <c r="P70" s="4" t="str">
        <f t="shared" si="11"/>
        <v>No</v>
      </c>
      <c r="Q70" s="4" t="str">
        <f>IF(OR(A70="",C70="",L70="Missing",M70="Missing",O70="0.00",K70="Missing"),"Review","OK")</f>
        <v>OK</v>
      </c>
    </row>
    <row r="71" spans="1:17" x14ac:dyDescent="0.3">
      <c r="A71">
        <v>1034</v>
      </c>
      <c r="B71" t="s">
        <v>245</v>
      </c>
      <c r="C71">
        <v>68</v>
      </c>
      <c r="D71" t="s">
        <v>76</v>
      </c>
      <c r="E71" s="3">
        <v>45843</v>
      </c>
      <c r="F71" s="3">
        <v>45680</v>
      </c>
      <c r="G71" t="s">
        <v>246</v>
      </c>
      <c r="H71" t="s">
        <v>25</v>
      </c>
      <c r="I71" t="s">
        <v>247</v>
      </c>
      <c r="J71" t="s">
        <v>65</v>
      </c>
      <c r="K71" t="str">
        <f t="shared" si="6"/>
        <v>Chad Reed</v>
      </c>
      <c r="L71" t="str">
        <f t="shared" si="7"/>
        <v>Male</v>
      </c>
      <c r="M71" t="str">
        <f t="shared" si="8"/>
        <v>Jennifer Adams</v>
      </c>
      <c r="N71" s="4" t="str">
        <f t="shared" si="9"/>
        <v>Neurology</v>
      </c>
      <c r="O71" s="6">
        <f t="shared" si="10"/>
        <v>453.06</v>
      </c>
      <c r="P71" s="4" t="str">
        <f t="shared" si="11"/>
        <v>No</v>
      </c>
      <c r="Q71" s="4" t="str">
        <f>IF(OR(A71="",C71="",L71="Missing",M71="Missing",O71="0.00",K71="Missing"),"Review","OK")</f>
        <v>OK</v>
      </c>
    </row>
    <row r="72" spans="1:17" x14ac:dyDescent="0.3">
      <c r="A72">
        <v>1095</v>
      </c>
      <c r="B72" t="s">
        <v>248</v>
      </c>
      <c r="C72">
        <v>86</v>
      </c>
      <c r="E72" s="3">
        <v>45833</v>
      </c>
      <c r="F72" s="3" t="s">
        <v>249</v>
      </c>
      <c r="G72" t="s">
        <v>250</v>
      </c>
      <c r="H72" t="s">
        <v>13</v>
      </c>
      <c r="I72" t="s">
        <v>251</v>
      </c>
      <c r="J72" t="s">
        <v>39</v>
      </c>
      <c r="K72" t="str">
        <f t="shared" si="6"/>
        <v>Jessica Heath</v>
      </c>
      <c r="L72" t="str">
        <f t="shared" si="7"/>
        <v>Missing</v>
      </c>
      <c r="M72" t="str">
        <f t="shared" si="8"/>
        <v>Sherri Long</v>
      </c>
      <c r="N72" s="4" t="str">
        <f t="shared" si="9"/>
        <v>Cardiology</v>
      </c>
      <c r="O72" s="6">
        <f t="shared" si="10"/>
        <v>61.37</v>
      </c>
      <c r="P72" s="4" t="str">
        <f t="shared" si="11"/>
        <v>Yes</v>
      </c>
      <c r="Q72" s="4" t="str">
        <f>IF(OR(A72="",C72="",L72="Missing",M72="Missing",O72="0.00",K72="Missing"),"Review","OK")</f>
        <v>Review</v>
      </c>
    </row>
    <row r="73" spans="1:17" x14ac:dyDescent="0.3">
      <c r="A73">
        <v>1070</v>
      </c>
      <c r="B73" t="s">
        <v>252</v>
      </c>
      <c r="C73">
        <v>85</v>
      </c>
      <c r="D73">
        <v>1</v>
      </c>
      <c r="E73" s="3">
        <v>45939</v>
      </c>
      <c r="F73" s="3">
        <v>45524</v>
      </c>
      <c r="G73" t="s">
        <v>253</v>
      </c>
      <c r="H73" t="s">
        <v>25</v>
      </c>
      <c r="I73" t="s">
        <v>254</v>
      </c>
      <c r="J73" t="s">
        <v>31</v>
      </c>
      <c r="K73" t="str">
        <f t="shared" si="6"/>
        <v>Clayton Williamson</v>
      </c>
      <c r="L73" t="str">
        <f t="shared" si="7"/>
        <v>Female</v>
      </c>
      <c r="M73" t="str">
        <f t="shared" si="8"/>
        <v>Glen Diaz</v>
      </c>
      <c r="N73" s="4" t="str">
        <f t="shared" si="9"/>
        <v>Neurology</v>
      </c>
      <c r="O73" s="6">
        <f t="shared" si="10"/>
        <v>185.52</v>
      </c>
      <c r="P73" s="4" t="str">
        <f t="shared" si="11"/>
        <v>No</v>
      </c>
      <c r="Q73" s="4" t="str">
        <f>IF(OR(A73="",C73="",L73="Missing",M73="Missing",O73="0.00",K73="Missing"),"Review","OK")</f>
        <v>OK</v>
      </c>
    </row>
    <row r="74" spans="1:17" x14ac:dyDescent="0.3">
      <c r="A74">
        <v>1099</v>
      </c>
      <c r="B74" t="s">
        <v>255</v>
      </c>
      <c r="C74">
        <v>28</v>
      </c>
      <c r="D74" t="s">
        <v>16</v>
      </c>
      <c r="E74" s="3">
        <v>45859</v>
      </c>
      <c r="F74" s="3">
        <v>45852</v>
      </c>
      <c r="G74" t="s">
        <v>256</v>
      </c>
      <c r="H74" t="s">
        <v>25</v>
      </c>
      <c r="I74" t="s">
        <v>257</v>
      </c>
      <c r="J74" t="s">
        <v>21</v>
      </c>
      <c r="K74" t="str">
        <f t="shared" si="6"/>
        <v>Timothy Walter</v>
      </c>
      <c r="L74" t="str">
        <f t="shared" si="7"/>
        <v>Female</v>
      </c>
      <c r="M74" t="str">
        <f t="shared" si="8"/>
        <v>Miss Julie Rodriguez</v>
      </c>
      <c r="N74" s="4" t="str">
        <f t="shared" si="9"/>
        <v>Neurology</v>
      </c>
      <c r="O74" s="6">
        <f t="shared" si="10"/>
        <v>112.48</v>
      </c>
      <c r="P74" s="4" t="str">
        <f t="shared" si="11"/>
        <v>Yes</v>
      </c>
      <c r="Q74" s="4" t="str">
        <f>IF(OR(A74="",C74="",L74="Missing",M74="Missing",O74="0.00",K74="Missing"),"Review","OK")</f>
        <v>OK</v>
      </c>
    </row>
    <row r="75" spans="1:17" x14ac:dyDescent="0.3">
      <c r="A75">
        <v>1022</v>
      </c>
      <c r="B75" t="s">
        <v>258</v>
      </c>
      <c r="C75">
        <v>23</v>
      </c>
      <c r="D75" t="s">
        <v>41</v>
      </c>
      <c r="E75" s="3">
        <v>46072</v>
      </c>
      <c r="F75" s="3">
        <v>45551</v>
      </c>
      <c r="G75" t="s">
        <v>259</v>
      </c>
      <c r="H75" t="s">
        <v>19</v>
      </c>
      <c r="I75" t="s">
        <v>260</v>
      </c>
      <c r="J75" t="s">
        <v>39</v>
      </c>
      <c r="K75" t="str">
        <f t="shared" si="6"/>
        <v>Katelyn Miller</v>
      </c>
      <c r="L75" t="str">
        <f t="shared" si="7"/>
        <v>Female</v>
      </c>
      <c r="M75" t="str">
        <f t="shared" si="8"/>
        <v>Andrea Cruz</v>
      </c>
      <c r="N75" s="4" t="str">
        <f t="shared" si="9"/>
        <v>Orthopedics</v>
      </c>
      <c r="O75" s="6">
        <f t="shared" si="10"/>
        <v>382.34</v>
      </c>
      <c r="P75" s="4" t="str">
        <f t="shared" si="11"/>
        <v>Yes</v>
      </c>
      <c r="Q75" s="4" t="str">
        <f>IF(OR(A75="",C75="",L75="Missing",M75="Missing",O75="0.00",K75="Missing"),"Review","OK")</f>
        <v>OK</v>
      </c>
    </row>
    <row r="76" spans="1:17" x14ac:dyDescent="0.3">
      <c r="A76">
        <v>1095</v>
      </c>
      <c r="B76" t="s">
        <v>261</v>
      </c>
      <c r="C76">
        <v>86</v>
      </c>
      <c r="D76" t="s">
        <v>16</v>
      </c>
      <c r="E76" s="3">
        <v>45952</v>
      </c>
      <c r="F76" s="3">
        <v>45857</v>
      </c>
      <c r="G76" t="s">
        <v>262</v>
      </c>
      <c r="H76" t="s">
        <v>19</v>
      </c>
      <c r="I76" t="s">
        <v>263</v>
      </c>
      <c r="J76" t="s">
        <v>39</v>
      </c>
      <c r="K76" t="str">
        <f t="shared" si="6"/>
        <v>Elizabeth Decker</v>
      </c>
      <c r="L76" t="str">
        <f t="shared" si="7"/>
        <v>Female</v>
      </c>
      <c r="M76" t="str">
        <f t="shared" si="8"/>
        <v>Brandi Hale</v>
      </c>
      <c r="N76" s="4" t="str">
        <f t="shared" si="9"/>
        <v>Orthopedics</v>
      </c>
      <c r="O76" s="6">
        <f t="shared" si="10"/>
        <v>168.18</v>
      </c>
      <c r="P76" s="4" t="str">
        <f t="shared" si="11"/>
        <v>Yes</v>
      </c>
      <c r="Q76" s="4" t="str">
        <f>IF(OR(A76="",C76="",L76="Missing",M76="Missing",O76="0.00",K76="Missing"),"Review","OK")</f>
        <v>OK</v>
      </c>
    </row>
    <row r="77" spans="1:17" x14ac:dyDescent="0.3">
      <c r="A77">
        <v>1061</v>
      </c>
      <c r="B77" t="s">
        <v>264</v>
      </c>
      <c r="C77">
        <v>66</v>
      </c>
      <c r="D77" t="s">
        <v>11</v>
      </c>
      <c r="E77" s="3" t="s">
        <v>265</v>
      </c>
      <c r="F77" s="3">
        <v>45724</v>
      </c>
      <c r="G77" t="s">
        <v>266</v>
      </c>
      <c r="H77" t="s">
        <v>25</v>
      </c>
      <c r="J77" t="s">
        <v>39</v>
      </c>
      <c r="K77" t="str">
        <f t="shared" si="6"/>
        <v>Jessica Smith</v>
      </c>
      <c r="L77" t="str">
        <f t="shared" si="7"/>
        <v>Female</v>
      </c>
      <c r="M77" t="str">
        <f t="shared" si="8"/>
        <v>Crystal Mack</v>
      </c>
      <c r="N77" s="4" t="str">
        <f t="shared" si="9"/>
        <v>Neurology</v>
      </c>
      <c r="O77" s="6" t="str">
        <f t="shared" si="10"/>
        <v>0.00</v>
      </c>
      <c r="P77" s="4" t="str">
        <f t="shared" si="11"/>
        <v>Yes</v>
      </c>
      <c r="Q77" s="4" t="str">
        <f>IF(OR(A77="",C77="",L77="Missing",M77="Missing",O77="0.00",K77="Missing"),"Review","OK")</f>
        <v>Review</v>
      </c>
    </row>
    <row r="78" spans="1:17" x14ac:dyDescent="0.3">
      <c r="A78">
        <v>1088</v>
      </c>
      <c r="B78" t="s">
        <v>267</v>
      </c>
      <c r="C78">
        <v>22</v>
      </c>
      <c r="D78" t="s">
        <v>56</v>
      </c>
      <c r="E78" s="3">
        <v>45963</v>
      </c>
      <c r="F78" s="3" t="s">
        <v>268</v>
      </c>
      <c r="G78" t="s">
        <v>269</v>
      </c>
      <c r="H78" t="s">
        <v>29</v>
      </c>
      <c r="I78" t="s">
        <v>270</v>
      </c>
      <c r="J78">
        <v>1</v>
      </c>
      <c r="K78" t="str">
        <f t="shared" si="6"/>
        <v>James Johnston</v>
      </c>
      <c r="L78" t="str">
        <f t="shared" si="7"/>
        <v>Male</v>
      </c>
      <c r="M78" t="str">
        <f t="shared" si="8"/>
        <v>Drew Bartlett</v>
      </c>
      <c r="N78" s="4" t="str">
        <f t="shared" si="9"/>
        <v>General</v>
      </c>
      <c r="O78" s="6">
        <f t="shared" si="10"/>
        <v>206.53</v>
      </c>
      <c r="P78" s="4" t="str">
        <f t="shared" si="11"/>
        <v>Yes</v>
      </c>
      <c r="Q78" s="4" t="str">
        <f>IF(OR(A78="",C78="",L78="Missing",M78="Missing",O78="0.00",K78="Missing"),"Review","OK")</f>
        <v>OK</v>
      </c>
    </row>
    <row r="79" spans="1:17" x14ac:dyDescent="0.3">
      <c r="A79">
        <v>1008</v>
      </c>
      <c r="B79" t="s">
        <v>271</v>
      </c>
      <c r="C79">
        <v>69</v>
      </c>
      <c r="D79" t="s">
        <v>16</v>
      </c>
      <c r="E79" s="3">
        <v>45931</v>
      </c>
      <c r="F79" s="3">
        <v>45435</v>
      </c>
      <c r="G79" t="s">
        <v>272</v>
      </c>
      <c r="H79" t="s">
        <v>19</v>
      </c>
      <c r="I79" t="s">
        <v>273</v>
      </c>
      <c r="J79">
        <v>0</v>
      </c>
      <c r="K79" t="str">
        <f t="shared" si="6"/>
        <v>Christine Price</v>
      </c>
      <c r="L79" t="str">
        <f t="shared" si="7"/>
        <v>Female</v>
      </c>
      <c r="M79" t="str">
        <f t="shared" si="8"/>
        <v>Susan Brown</v>
      </c>
      <c r="N79" s="4" t="str">
        <f t="shared" si="9"/>
        <v>Orthopedics</v>
      </c>
      <c r="O79" s="6">
        <f t="shared" si="10"/>
        <v>258.20999999999998</v>
      </c>
      <c r="P79" s="4" t="str">
        <f t="shared" si="11"/>
        <v>No</v>
      </c>
      <c r="Q79" s="4" t="str">
        <f>IF(OR(A79="",C79="",L79="Missing",M79="Missing",O79="0.00",K79="Missing"),"Review","OK")</f>
        <v>OK</v>
      </c>
    </row>
    <row r="80" spans="1:17" x14ac:dyDescent="0.3">
      <c r="A80">
        <v>1014</v>
      </c>
      <c r="B80" t="s">
        <v>274</v>
      </c>
      <c r="C80">
        <v>26</v>
      </c>
      <c r="D80">
        <v>0</v>
      </c>
      <c r="E80" s="3">
        <v>45928</v>
      </c>
      <c r="F80" s="3">
        <v>45481</v>
      </c>
      <c r="G80" t="s">
        <v>275</v>
      </c>
      <c r="H80" t="s">
        <v>13</v>
      </c>
      <c r="I80" t="s">
        <v>276</v>
      </c>
      <c r="J80">
        <v>1</v>
      </c>
      <c r="K80" t="str">
        <f t="shared" si="6"/>
        <v>Amy Mayer</v>
      </c>
      <c r="L80" t="str">
        <f t="shared" si="7"/>
        <v>Male</v>
      </c>
      <c r="M80" t="str">
        <f t="shared" si="8"/>
        <v>Jim Patterson</v>
      </c>
      <c r="N80" s="4" t="str">
        <f t="shared" si="9"/>
        <v>Cardiology</v>
      </c>
      <c r="O80" s="6">
        <f t="shared" si="10"/>
        <v>253.4</v>
      </c>
      <c r="P80" s="4" t="str">
        <f t="shared" si="11"/>
        <v>Yes</v>
      </c>
      <c r="Q80" s="4" t="str">
        <f>IF(OR(A80="",C80="",L80="Missing",M80="Missing",O80="0.00",K80="Missing"),"Review","OK")</f>
        <v>OK</v>
      </c>
    </row>
    <row r="81" spans="1:17" x14ac:dyDescent="0.3">
      <c r="A81">
        <v>1005</v>
      </c>
      <c r="B81" t="s">
        <v>277</v>
      </c>
      <c r="C81">
        <v>69</v>
      </c>
      <c r="D81" t="s">
        <v>23</v>
      </c>
      <c r="E81" s="3">
        <v>46083</v>
      </c>
      <c r="F81" s="3">
        <v>45617</v>
      </c>
      <c r="G81" t="s">
        <v>278</v>
      </c>
      <c r="H81" t="s">
        <v>29</v>
      </c>
      <c r="I81" t="s">
        <v>279</v>
      </c>
      <c r="J81">
        <v>1</v>
      </c>
      <c r="K81" t="str">
        <f t="shared" si="6"/>
        <v>Samuel Moore</v>
      </c>
      <c r="L81" t="str">
        <f t="shared" si="7"/>
        <v>Male</v>
      </c>
      <c r="M81" t="str">
        <f t="shared" si="8"/>
        <v>Heather Everett</v>
      </c>
      <c r="N81" s="4" t="str">
        <f t="shared" si="9"/>
        <v>General</v>
      </c>
      <c r="O81" s="6">
        <f t="shared" si="10"/>
        <v>83.09</v>
      </c>
      <c r="P81" s="4" t="str">
        <f t="shared" si="11"/>
        <v>Yes</v>
      </c>
      <c r="Q81" s="4" t="str">
        <f>IF(OR(A81="",C81="",L81="Missing",M81="Missing",O81="0.00",K81="Missing"),"Review","OK")</f>
        <v>OK</v>
      </c>
    </row>
    <row r="82" spans="1:17" x14ac:dyDescent="0.3">
      <c r="A82">
        <v>1098</v>
      </c>
      <c r="B82" t="s">
        <v>280</v>
      </c>
      <c r="C82">
        <v>35</v>
      </c>
      <c r="D82" t="s">
        <v>11</v>
      </c>
      <c r="E82" s="3">
        <v>46094</v>
      </c>
      <c r="F82" s="3">
        <v>45865</v>
      </c>
      <c r="G82" t="s">
        <v>281</v>
      </c>
      <c r="H82" t="s">
        <v>19</v>
      </c>
      <c r="I82" t="s">
        <v>282</v>
      </c>
      <c r="J82">
        <v>1</v>
      </c>
      <c r="K82" t="str">
        <f t="shared" si="6"/>
        <v>Jamie Mcclure</v>
      </c>
      <c r="L82" t="str">
        <f t="shared" si="7"/>
        <v>Female</v>
      </c>
      <c r="M82" t="str">
        <f t="shared" si="8"/>
        <v>Katherine Sanders</v>
      </c>
      <c r="N82" s="4" t="str">
        <f t="shared" si="9"/>
        <v>Orthopedics</v>
      </c>
      <c r="O82" s="6">
        <f t="shared" si="10"/>
        <v>80.38</v>
      </c>
      <c r="P82" s="4" t="str">
        <f t="shared" si="11"/>
        <v>Yes</v>
      </c>
      <c r="Q82" s="4" t="str">
        <f>IF(OR(A82="",C82="",L82="Missing",M82="Missing",O82="0.00",K82="Missing"),"Review","OK")</f>
        <v>OK</v>
      </c>
    </row>
    <row r="83" spans="1:17" x14ac:dyDescent="0.3">
      <c r="A83">
        <v>1074</v>
      </c>
      <c r="B83" t="s">
        <v>283</v>
      </c>
      <c r="C83">
        <v>23</v>
      </c>
      <c r="D83">
        <v>0</v>
      </c>
      <c r="E83" s="3">
        <v>46004</v>
      </c>
      <c r="F83" s="3">
        <v>45826</v>
      </c>
      <c r="G83" t="s">
        <v>284</v>
      </c>
      <c r="H83" t="s">
        <v>19</v>
      </c>
      <c r="I83" t="s">
        <v>285</v>
      </c>
      <c r="J83" t="s">
        <v>21</v>
      </c>
      <c r="K83" t="str">
        <f t="shared" si="6"/>
        <v>Luke Price</v>
      </c>
      <c r="L83" t="str">
        <f t="shared" si="7"/>
        <v>Male</v>
      </c>
      <c r="M83" t="str">
        <f t="shared" si="8"/>
        <v>Virginia Lang</v>
      </c>
      <c r="N83" s="4" t="str">
        <f t="shared" si="9"/>
        <v>Orthopedics</v>
      </c>
      <c r="O83" s="6">
        <f t="shared" si="10"/>
        <v>260.39999999999998</v>
      </c>
      <c r="P83" s="4" t="str">
        <f t="shared" si="11"/>
        <v>Yes</v>
      </c>
      <c r="Q83" s="4" t="str">
        <f>IF(OR(A83="",C83="",L83="Missing",M83="Missing",O83="0.00",K83="Missing"),"Review","OK")</f>
        <v>OK</v>
      </c>
    </row>
    <row r="84" spans="1:17" x14ac:dyDescent="0.3">
      <c r="A84">
        <v>1097</v>
      </c>
      <c r="B84" t="s">
        <v>286</v>
      </c>
      <c r="C84">
        <v>50</v>
      </c>
      <c r="D84" t="s">
        <v>23</v>
      </c>
      <c r="E84" s="3">
        <v>45984</v>
      </c>
      <c r="F84" s="3">
        <v>45924</v>
      </c>
      <c r="G84" t="s">
        <v>287</v>
      </c>
      <c r="H84" t="s">
        <v>19</v>
      </c>
      <c r="I84" t="s">
        <v>288</v>
      </c>
      <c r="J84">
        <v>1</v>
      </c>
      <c r="K84" t="str">
        <f t="shared" si="6"/>
        <v>Luis Rodriguez</v>
      </c>
      <c r="L84" t="str">
        <f t="shared" si="7"/>
        <v>Male</v>
      </c>
      <c r="M84" t="str">
        <f t="shared" si="8"/>
        <v>Samantha Bass Md</v>
      </c>
      <c r="N84" s="4" t="str">
        <f t="shared" si="9"/>
        <v>Orthopedics</v>
      </c>
      <c r="O84" s="6">
        <f t="shared" si="10"/>
        <v>294.58</v>
      </c>
      <c r="P84" s="4" t="str">
        <f t="shared" si="11"/>
        <v>Yes</v>
      </c>
      <c r="Q84" s="4" t="str">
        <f>IF(OR(A84="",C84="",L84="Missing",M84="Missing",O84="0.00",K84="Missing"),"Review","OK")</f>
        <v>OK</v>
      </c>
    </row>
    <row r="85" spans="1:17" x14ac:dyDescent="0.3">
      <c r="A85">
        <v>1047</v>
      </c>
      <c r="B85" t="s">
        <v>289</v>
      </c>
      <c r="C85">
        <v>40</v>
      </c>
      <c r="D85" t="s">
        <v>23</v>
      </c>
      <c r="E85" s="3">
        <v>46078</v>
      </c>
      <c r="F85" s="3">
        <v>45663</v>
      </c>
      <c r="G85" t="s">
        <v>290</v>
      </c>
      <c r="H85" t="s">
        <v>19</v>
      </c>
      <c r="I85" t="s">
        <v>291</v>
      </c>
      <c r="J85" t="s">
        <v>39</v>
      </c>
      <c r="K85" t="str">
        <f t="shared" si="6"/>
        <v>Pamela Brown</v>
      </c>
      <c r="L85" t="str">
        <f t="shared" si="7"/>
        <v>Male</v>
      </c>
      <c r="M85" t="str">
        <f t="shared" si="8"/>
        <v>Melinda Duncan</v>
      </c>
      <c r="N85" s="4" t="str">
        <f t="shared" si="9"/>
        <v>Orthopedics</v>
      </c>
      <c r="O85" s="6">
        <f t="shared" si="10"/>
        <v>247.13</v>
      </c>
      <c r="P85" s="4" t="str">
        <f t="shared" si="11"/>
        <v>Yes</v>
      </c>
      <c r="Q85" s="4" t="str">
        <f>IF(OR(A85="",C85="",L85="Missing",M85="Missing",O85="0.00",K85="Missing"),"Review","OK")</f>
        <v>OK</v>
      </c>
    </row>
    <row r="86" spans="1:17" x14ac:dyDescent="0.3">
      <c r="A86">
        <v>1093</v>
      </c>
      <c r="B86" t="s">
        <v>292</v>
      </c>
      <c r="C86">
        <v>55</v>
      </c>
      <c r="E86" s="3">
        <v>45942</v>
      </c>
      <c r="F86" s="3" t="s">
        <v>265</v>
      </c>
      <c r="G86" t="s">
        <v>293</v>
      </c>
      <c r="H86" t="s">
        <v>25</v>
      </c>
      <c r="I86" t="s">
        <v>294</v>
      </c>
      <c r="J86" t="s">
        <v>31</v>
      </c>
      <c r="K86" t="str">
        <f t="shared" si="6"/>
        <v>Craig Nixon</v>
      </c>
      <c r="L86" t="str">
        <f t="shared" si="7"/>
        <v>Missing</v>
      </c>
      <c r="M86" t="str">
        <f t="shared" si="8"/>
        <v>William Key</v>
      </c>
      <c r="N86" s="4" t="str">
        <f t="shared" si="9"/>
        <v>Neurology</v>
      </c>
      <c r="O86" s="6">
        <f t="shared" si="10"/>
        <v>341.19</v>
      </c>
      <c r="P86" s="4" t="str">
        <f t="shared" si="11"/>
        <v>No</v>
      </c>
      <c r="Q86" s="4" t="str">
        <f>IF(OR(A86="",C86="",L86="Missing",M86="Missing",O86="0.00",K86="Missing"),"Review","OK")</f>
        <v>Review</v>
      </c>
    </row>
    <row r="87" spans="1:17" x14ac:dyDescent="0.3">
      <c r="A87">
        <v>1044</v>
      </c>
      <c r="B87" t="s">
        <v>295</v>
      </c>
      <c r="C87">
        <v>57</v>
      </c>
      <c r="D87">
        <v>0</v>
      </c>
      <c r="E87" s="3">
        <v>45905</v>
      </c>
      <c r="F87" s="3">
        <v>45644</v>
      </c>
      <c r="G87" t="s">
        <v>296</v>
      </c>
      <c r="H87" t="s">
        <v>19</v>
      </c>
      <c r="I87" t="s">
        <v>297</v>
      </c>
      <c r="J87" t="s">
        <v>65</v>
      </c>
      <c r="K87" t="str">
        <f t="shared" si="6"/>
        <v>Justin Caldwell</v>
      </c>
      <c r="L87" t="str">
        <f t="shared" si="7"/>
        <v>Male</v>
      </c>
      <c r="M87" t="str">
        <f t="shared" si="8"/>
        <v>Ronnie Miller</v>
      </c>
      <c r="N87" s="4" t="str">
        <f t="shared" si="9"/>
        <v>Orthopedics</v>
      </c>
      <c r="O87" s="6">
        <f t="shared" si="10"/>
        <v>383.69</v>
      </c>
      <c r="P87" s="4" t="str">
        <f t="shared" si="11"/>
        <v>No</v>
      </c>
      <c r="Q87" s="4" t="str">
        <f>IF(OR(A87="",C87="",L87="Missing",M87="Missing",O87="0.00",K87="Missing"),"Review","OK")</f>
        <v>OK</v>
      </c>
    </row>
    <row r="88" spans="1:17" x14ac:dyDescent="0.3">
      <c r="A88">
        <v>1050</v>
      </c>
      <c r="B88" t="s">
        <v>298</v>
      </c>
      <c r="C88">
        <v>60</v>
      </c>
      <c r="D88">
        <v>1</v>
      </c>
      <c r="E88" s="3">
        <v>45933</v>
      </c>
      <c r="F88" s="3">
        <v>45895</v>
      </c>
      <c r="G88" t="s">
        <v>299</v>
      </c>
      <c r="H88" t="s">
        <v>29</v>
      </c>
      <c r="I88" t="s">
        <v>300</v>
      </c>
      <c r="J88" t="s">
        <v>21</v>
      </c>
      <c r="K88" t="str">
        <f t="shared" si="6"/>
        <v>Cassandra Collins</v>
      </c>
      <c r="L88" t="str">
        <f t="shared" si="7"/>
        <v>Female</v>
      </c>
      <c r="M88" t="str">
        <f t="shared" si="8"/>
        <v>Mark Lutz</v>
      </c>
      <c r="N88" s="4" t="str">
        <f t="shared" si="9"/>
        <v>General</v>
      </c>
      <c r="O88" s="6">
        <f t="shared" si="10"/>
        <v>243.78</v>
      </c>
      <c r="P88" s="4" t="str">
        <f t="shared" si="11"/>
        <v>Yes</v>
      </c>
      <c r="Q88" s="4" t="str">
        <f>IF(OR(A88="",C88="",L88="Missing",M88="Missing",O88="0.00",K88="Missing"),"Review","OK")</f>
        <v>OK</v>
      </c>
    </row>
    <row r="89" spans="1:17" x14ac:dyDescent="0.3">
      <c r="A89">
        <v>1100</v>
      </c>
      <c r="B89" t="s">
        <v>301</v>
      </c>
      <c r="C89">
        <v>58</v>
      </c>
      <c r="D89" t="s">
        <v>23</v>
      </c>
      <c r="E89" s="3">
        <v>45723</v>
      </c>
      <c r="F89" s="3">
        <v>45529</v>
      </c>
      <c r="G89" t="s">
        <v>302</v>
      </c>
      <c r="H89" t="s">
        <v>25</v>
      </c>
      <c r="I89" t="s">
        <v>303</v>
      </c>
      <c r="J89" t="s">
        <v>31</v>
      </c>
      <c r="K89" t="str">
        <f t="shared" si="6"/>
        <v>Adam Torres</v>
      </c>
      <c r="L89" t="str">
        <f t="shared" si="7"/>
        <v>Male</v>
      </c>
      <c r="M89" t="str">
        <f t="shared" si="8"/>
        <v>Daniel Le</v>
      </c>
      <c r="N89" s="4" t="str">
        <f t="shared" si="9"/>
        <v>Neurology</v>
      </c>
      <c r="O89" s="6">
        <f t="shared" si="10"/>
        <v>329.25</v>
      </c>
      <c r="P89" s="4" t="str">
        <f t="shared" si="11"/>
        <v>No</v>
      </c>
      <c r="Q89" s="4" t="str">
        <f>IF(OR(A89="",C89="",L89="Missing",M89="Missing",O89="0.00",K89="Missing"),"Review","OK")</f>
        <v>OK</v>
      </c>
    </row>
    <row r="90" spans="1:17" x14ac:dyDescent="0.3">
      <c r="A90">
        <v>1095</v>
      </c>
      <c r="B90" t="s">
        <v>304</v>
      </c>
      <c r="C90">
        <v>61</v>
      </c>
      <c r="D90" t="s">
        <v>76</v>
      </c>
      <c r="E90" s="3">
        <v>45949</v>
      </c>
      <c r="F90" s="3" t="s">
        <v>305</v>
      </c>
      <c r="G90" t="s">
        <v>306</v>
      </c>
      <c r="H90" t="s">
        <v>25</v>
      </c>
      <c r="I90" t="s">
        <v>307</v>
      </c>
      <c r="J90">
        <v>0</v>
      </c>
      <c r="K90" t="str">
        <f t="shared" si="6"/>
        <v>Carol Foster</v>
      </c>
      <c r="L90" t="str">
        <f t="shared" si="7"/>
        <v>Male</v>
      </c>
      <c r="M90" t="str">
        <f t="shared" si="8"/>
        <v>Bryan Mann</v>
      </c>
      <c r="N90" s="4" t="str">
        <f t="shared" si="9"/>
        <v>Neurology</v>
      </c>
      <c r="O90" s="6">
        <f t="shared" si="10"/>
        <v>389.37</v>
      </c>
      <c r="P90" s="4" t="str">
        <f t="shared" si="11"/>
        <v>No</v>
      </c>
      <c r="Q90" s="4" t="str">
        <f>IF(OR(A90="",C90="",L90="Missing",M90="Missing",O90="0.00",K90="Missing"),"Review","OK")</f>
        <v>OK</v>
      </c>
    </row>
    <row r="91" spans="1:17" x14ac:dyDescent="0.3">
      <c r="A91">
        <v>1088</v>
      </c>
      <c r="B91" t="s">
        <v>308</v>
      </c>
      <c r="C91">
        <v>34</v>
      </c>
      <c r="D91" t="s">
        <v>41</v>
      </c>
      <c r="E91" s="3">
        <v>45942</v>
      </c>
      <c r="F91" s="3">
        <v>45672</v>
      </c>
      <c r="G91" t="s">
        <v>309</v>
      </c>
      <c r="H91" t="s">
        <v>13</v>
      </c>
      <c r="I91" t="s">
        <v>310</v>
      </c>
      <c r="J91" t="s">
        <v>39</v>
      </c>
      <c r="K91" t="str">
        <f t="shared" si="6"/>
        <v>Chelsey Moore</v>
      </c>
      <c r="L91" t="str">
        <f t="shared" si="7"/>
        <v>Female</v>
      </c>
      <c r="M91" t="str">
        <f t="shared" si="8"/>
        <v>Randy Garrett</v>
      </c>
      <c r="N91" s="4" t="str">
        <f t="shared" si="9"/>
        <v>Cardiology</v>
      </c>
      <c r="O91" s="6">
        <f t="shared" si="10"/>
        <v>344.56</v>
      </c>
      <c r="P91" s="4" t="str">
        <f t="shared" si="11"/>
        <v>Yes</v>
      </c>
      <c r="Q91" s="4" t="str">
        <f>IF(OR(A91="",C91="",L91="Missing",M91="Missing",O91="0.00",K91="Missing"),"Review","OK")</f>
        <v>OK</v>
      </c>
    </row>
    <row r="92" spans="1:17" x14ac:dyDescent="0.3">
      <c r="A92">
        <v>1027</v>
      </c>
      <c r="B92" t="s">
        <v>311</v>
      </c>
      <c r="C92">
        <v>35</v>
      </c>
      <c r="D92" t="s">
        <v>23</v>
      </c>
      <c r="E92" s="3">
        <v>45923</v>
      </c>
      <c r="F92" s="3">
        <v>45488</v>
      </c>
      <c r="G92" t="s">
        <v>312</v>
      </c>
      <c r="H92" t="s">
        <v>19</v>
      </c>
      <c r="I92" t="s">
        <v>313</v>
      </c>
      <c r="J92">
        <v>1</v>
      </c>
      <c r="K92" t="str">
        <f t="shared" si="6"/>
        <v>John Hensley</v>
      </c>
      <c r="L92" t="str">
        <f t="shared" si="7"/>
        <v>Male</v>
      </c>
      <c r="M92" t="str">
        <f t="shared" si="8"/>
        <v>Paul Tate</v>
      </c>
      <c r="N92" s="4" t="str">
        <f t="shared" si="9"/>
        <v>Orthopedics</v>
      </c>
      <c r="O92" s="6">
        <f t="shared" si="10"/>
        <v>289.07</v>
      </c>
      <c r="P92" s="4" t="str">
        <f t="shared" si="11"/>
        <v>Yes</v>
      </c>
      <c r="Q92" s="4" t="str">
        <f>IF(OR(A92="",C92="",L92="Missing",M92="Missing",O92="0.00",K92="Missing"),"Review","OK")</f>
        <v>OK</v>
      </c>
    </row>
    <row r="93" spans="1:17" x14ac:dyDescent="0.3">
      <c r="A93">
        <v>1040</v>
      </c>
      <c r="B93" t="s">
        <v>314</v>
      </c>
      <c r="C93">
        <v>62</v>
      </c>
      <c r="E93" s="3">
        <v>46020</v>
      </c>
      <c r="F93" s="3">
        <v>45425</v>
      </c>
      <c r="G93" t="s">
        <v>315</v>
      </c>
      <c r="H93" t="s">
        <v>13</v>
      </c>
      <c r="I93" t="s">
        <v>316</v>
      </c>
      <c r="J93" t="s">
        <v>39</v>
      </c>
      <c r="K93" t="str">
        <f t="shared" si="6"/>
        <v>Chelsea Burns</v>
      </c>
      <c r="L93" t="str">
        <f t="shared" si="7"/>
        <v>Missing</v>
      </c>
      <c r="M93" t="str">
        <f t="shared" si="8"/>
        <v>Michael Morales</v>
      </c>
      <c r="N93" s="4" t="str">
        <f t="shared" si="9"/>
        <v>Cardiology</v>
      </c>
      <c r="O93" s="6">
        <f t="shared" si="10"/>
        <v>193.6</v>
      </c>
      <c r="P93" s="4" t="str">
        <f t="shared" si="11"/>
        <v>Yes</v>
      </c>
      <c r="Q93" s="4" t="str">
        <f>IF(OR(A93="",C93="",L93="Missing",M93="Missing",O93="0.00",K93="Missing"),"Review","OK")</f>
        <v>Review</v>
      </c>
    </row>
    <row r="94" spans="1:17" x14ac:dyDescent="0.3">
      <c r="A94">
        <v>1099</v>
      </c>
      <c r="B94" t="s">
        <v>317</v>
      </c>
      <c r="C94">
        <v>31</v>
      </c>
      <c r="D94" t="s">
        <v>56</v>
      </c>
      <c r="E94" s="3">
        <v>45968</v>
      </c>
      <c r="F94" s="3">
        <v>45735</v>
      </c>
      <c r="G94" t="s">
        <v>318</v>
      </c>
      <c r="H94" t="s">
        <v>19</v>
      </c>
      <c r="I94" t="s">
        <v>319</v>
      </c>
      <c r="J94" t="s">
        <v>39</v>
      </c>
      <c r="K94" t="str">
        <f t="shared" si="6"/>
        <v>Ryan Miller</v>
      </c>
      <c r="L94" t="str">
        <f t="shared" si="7"/>
        <v>Male</v>
      </c>
      <c r="M94" t="str">
        <f t="shared" si="8"/>
        <v>Alexa Peterson</v>
      </c>
      <c r="N94" s="4" t="str">
        <f t="shared" si="9"/>
        <v>Orthopedics</v>
      </c>
      <c r="O94" s="6">
        <f t="shared" si="10"/>
        <v>259.72000000000003</v>
      </c>
      <c r="P94" s="4" t="str">
        <f t="shared" si="11"/>
        <v>Yes</v>
      </c>
      <c r="Q94" s="4" t="str">
        <f>IF(OR(A94="",C94="",L94="Missing",M94="Missing",O94="0.00",K94="Missing"),"Review","OK")</f>
        <v>OK</v>
      </c>
    </row>
    <row r="95" spans="1:17" x14ac:dyDescent="0.3">
      <c r="A95">
        <v>1070</v>
      </c>
      <c r="B95" t="s">
        <v>320</v>
      </c>
      <c r="C95">
        <v>28</v>
      </c>
      <c r="D95" t="s">
        <v>41</v>
      </c>
      <c r="E95" s="3">
        <v>45938</v>
      </c>
      <c r="F95" s="3">
        <v>45787</v>
      </c>
      <c r="G95" t="s">
        <v>321</v>
      </c>
      <c r="H95" t="s">
        <v>25</v>
      </c>
      <c r="I95" t="s">
        <v>322</v>
      </c>
      <c r="J95" t="s">
        <v>31</v>
      </c>
      <c r="K95" t="str">
        <f t="shared" si="6"/>
        <v>Jared Green</v>
      </c>
      <c r="L95" t="str">
        <f t="shared" si="7"/>
        <v>Female</v>
      </c>
      <c r="M95" t="str">
        <f t="shared" si="8"/>
        <v>Brenda Castro</v>
      </c>
      <c r="N95" s="4" t="str">
        <f t="shared" si="9"/>
        <v>Neurology</v>
      </c>
      <c r="O95" s="6">
        <f t="shared" si="10"/>
        <v>235.69</v>
      </c>
      <c r="P95" s="4" t="str">
        <f t="shared" si="11"/>
        <v>No</v>
      </c>
      <c r="Q95" s="4" t="str">
        <f>IF(OR(A95="",C95="",L95="Missing",M95="Missing",O95="0.00",K95="Missing"),"Review","OK")</f>
        <v>OK</v>
      </c>
    </row>
    <row r="96" spans="1:17" x14ac:dyDescent="0.3">
      <c r="A96">
        <v>1058</v>
      </c>
      <c r="B96" t="s">
        <v>323</v>
      </c>
      <c r="C96">
        <v>18</v>
      </c>
      <c r="D96" t="s">
        <v>41</v>
      </c>
      <c r="E96" s="3">
        <v>46057</v>
      </c>
      <c r="F96" s="3">
        <v>45577</v>
      </c>
      <c r="G96" t="s">
        <v>324</v>
      </c>
      <c r="H96" t="s">
        <v>29</v>
      </c>
      <c r="I96" t="s">
        <v>325</v>
      </c>
      <c r="J96" t="s">
        <v>31</v>
      </c>
      <c r="K96" t="str">
        <f t="shared" si="6"/>
        <v>Traci Chandler</v>
      </c>
      <c r="L96" t="str">
        <f t="shared" si="7"/>
        <v>Female</v>
      </c>
      <c r="M96" t="str">
        <f t="shared" si="8"/>
        <v>Tyler Carter</v>
      </c>
      <c r="N96" s="4" t="str">
        <f t="shared" si="9"/>
        <v>General</v>
      </c>
      <c r="O96" s="6">
        <f t="shared" si="10"/>
        <v>428.75</v>
      </c>
      <c r="P96" s="4" t="str">
        <f t="shared" si="11"/>
        <v>No</v>
      </c>
      <c r="Q96" s="4" t="str">
        <f>IF(OR(A96="",C96="",L96="Missing",M96="Missing",O96="0.00",K96="Missing"),"Review","OK")</f>
        <v>OK</v>
      </c>
    </row>
    <row r="97" spans="1:17" x14ac:dyDescent="0.3">
      <c r="A97">
        <v>1040</v>
      </c>
      <c r="B97" t="s">
        <v>326</v>
      </c>
      <c r="C97">
        <v>34</v>
      </c>
      <c r="D97">
        <v>0</v>
      </c>
      <c r="E97" s="3">
        <v>45961</v>
      </c>
      <c r="F97" s="3">
        <v>45735</v>
      </c>
      <c r="G97" t="s">
        <v>327</v>
      </c>
      <c r="H97" t="s">
        <v>25</v>
      </c>
      <c r="I97" t="s">
        <v>328</v>
      </c>
      <c r="J97">
        <v>0</v>
      </c>
      <c r="K97" t="str">
        <f t="shared" si="6"/>
        <v>Kenneth Graham</v>
      </c>
      <c r="L97" t="str">
        <f t="shared" si="7"/>
        <v>Male</v>
      </c>
      <c r="M97" t="str">
        <f t="shared" si="8"/>
        <v>Wayne Graham</v>
      </c>
      <c r="N97" s="4" t="str">
        <f t="shared" si="9"/>
        <v>Neurology</v>
      </c>
      <c r="O97" s="6">
        <f t="shared" si="10"/>
        <v>142.32</v>
      </c>
      <c r="P97" s="4" t="str">
        <f t="shared" si="11"/>
        <v>No</v>
      </c>
      <c r="Q97" s="4" t="str">
        <f>IF(OR(A97="",C97="",L97="Missing",M97="Missing",O97="0.00",K97="Missing"),"Review","OK")</f>
        <v>OK</v>
      </c>
    </row>
    <row r="98" spans="1:17" x14ac:dyDescent="0.3">
      <c r="A98">
        <v>1018</v>
      </c>
      <c r="B98" t="s">
        <v>329</v>
      </c>
      <c r="C98">
        <v>34</v>
      </c>
      <c r="D98" t="s">
        <v>41</v>
      </c>
      <c r="E98" s="3">
        <v>46016</v>
      </c>
      <c r="F98" s="3">
        <v>45635</v>
      </c>
      <c r="G98" t="s">
        <v>330</v>
      </c>
      <c r="H98" t="s">
        <v>13</v>
      </c>
      <c r="I98" t="s">
        <v>331</v>
      </c>
      <c r="J98" t="s">
        <v>31</v>
      </c>
      <c r="K98" t="str">
        <f t="shared" si="6"/>
        <v>Angela Watkins</v>
      </c>
      <c r="L98" t="str">
        <f t="shared" si="7"/>
        <v>Female</v>
      </c>
      <c r="M98" t="str">
        <f t="shared" si="8"/>
        <v>Kyle Russell</v>
      </c>
      <c r="N98" s="4" t="str">
        <f t="shared" si="9"/>
        <v>Cardiology</v>
      </c>
      <c r="O98" s="6">
        <f t="shared" si="10"/>
        <v>109.31</v>
      </c>
      <c r="P98" s="4" t="str">
        <f t="shared" si="11"/>
        <v>No</v>
      </c>
      <c r="Q98" s="4" t="str">
        <f>IF(OR(A98="",C98="",L98="Missing",M98="Missing",O98="0.00",K98="Missing"),"Review","OK")</f>
        <v>OK</v>
      </c>
    </row>
    <row r="99" spans="1:17" x14ac:dyDescent="0.3">
      <c r="A99">
        <v>1052</v>
      </c>
      <c r="B99" t="s">
        <v>332</v>
      </c>
      <c r="C99">
        <v>60</v>
      </c>
      <c r="D99" t="s">
        <v>11</v>
      </c>
      <c r="E99" s="3">
        <v>45849</v>
      </c>
      <c r="F99" s="3">
        <v>45532</v>
      </c>
      <c r="G99" t="s">
        <v>333</v>
      </c>
      <c r="H99" t="s">
        <v>29</v>
      </c>
      <c r="J99" t="s">
        <v>21</v>
      </c>
      <c r="K99" t="str">
        <f t="shared" si="6"/>
        <v>Keith Becker</v>
      </c>
      <c r="L99" t="str">
        <f t="shared" si="7"/>
        <v>Female</v>
      </c>
      <c r="M99" t="str">
        <f t="shared" si="8"/>
        <v>Kristopher Collier</v>
      </c>
      <c r="N99" s="4" t="str">
        <f t="shared" si="9"/>
        <v>General</v>
      </c>
      <c r="O99" s="6" t="str">
        <f t="shared" si="10"/>
        <v>0.00</v>
      </c>
      <c r="P99" s="4" t="str">
        <f t="shared" si="11"/>
        <v>Yes</v>
      </c>
      <c r="Q99" s="4" t="str">
        <f>IF(OR(A99="",C99="",L99="Missing",M99="Missing",O99="0.00",K99="Missing"),"Review","OK")</f>
        <v>Review</v>
      </c>
    </row>
    <row r="100" spans="1:17" x14ac:dyDescent="0.3">
      <c r="A100">
        <v>1031</v>
      </c>
      <c r="B100" t="s">
        <v>334</v>
      </c>
      <c r="C100">
        <v>65</v>
      </c>
      <c r="D100" t="s">
        <v>41</v>
      </c>
      <c r="E100" s="3">
        <v>45816</v>
      </c>
      <c r="F100" s="3">
        <v>45671</v>
      </c>
      <c r="G100" t="s">
        <v>335</v>
      </c>
      <c r="H100" t="s">
        <v>29</v>
      </c>
      <c r="I100" t="s">
        <v>336</v>
      </c>
      <c r="J100">
        <v>0</v>
      </c>
      <c r="K100" t="str">
        <f t="shared" si="6"/>
        <v>Nicole Hoffman</v>
      </c>
      <c r="L100" t="str">
        <f t="shared" si="7"/>
        <v>Female</v>
      </c>
      <c r="M100" t="str">
        <f t="shared" si="8"/>
        <v>Robert Mitchell</v>
      </c>
      <c r="N100" s="4" t="str">
        <f t="shared" si="9"/>
        <v>General</v>
      </c>
      <c r="O100" s="6">
        <f t="shared" si="10"/>
        <v>325.25</v>
      </c>
      <c r="P100" s="4" t="str">
        <f t="shared" si="11"/>
        <v>No</v>
      </c>
      <c r="Q100" s="4" t="str">
        <f>IF(OR(A100="",C100="",L100="Missing",M100="Missing",O100="0.00",K100="Missing"),"Review","OK")</f>
        <v>OK</v>
      </c>
    </row>
    <row r="101" spans="1:17" x14ac:dyDescent="0.3">
      <c r="A101">
        <v>1028</v>
      </c>
      <c r="B101" t="s">
        <v>337</v>
      </c>
      <c r="C101">
        <v>21</v>
      </c>
      <c r="D101" t="s">
        <v>11</v>
      </c>
      <c r="E101" s="3">
        <v>45849</v>
      </c>
      <c r="F101" s="3">
        <v>45865</v>
      </c>
      <c r="G101" t="s">
        <v>338</v>
      </c>
      <c r="H101" t="s">
        <v>25</v>
      </c>
      <c r="I101" t="s">
        <v>339</v>
      </c>
      <c r="J101" t="s">
        <v>65</v>
      </c>
      <c r="K101" t="str">
        <f t="shared" si="6"/>
        <v>Hannah Perez</v>
      </c>
      <c r="L101" t="str">
        <f t="shared" si="7"/>
        <v>Female</v>
      </c>
      <c r="M101" t="str">
        <f t="shared" si="8"/>
        <v>Rita Smith</v>
      </c>
      <c r="N101" s="4" t="str">
        <f t="shared" si="9"/>
        <v>Neurology</v>
      </c>
      <c r="O101" s="6">
        <f t="shared" si="10"/>
        <v>111.92</v>
      </c>
      <c r="P101" s="4" t="str">
        <f t="shared" si="11"/>
        <v>No</v>
      </c>
      <c r="Q101" s="4" t="str">
        <f>IF(OR(A101="",C101="",L101="Missing",M101="Missing",O101="0.00",K101="Missing"),"Review","OK")</f>
        <v>OK</v>
      </c>
    </row>
    <row r="102" spans="1:17" x14ac:dyDescent="0.3">
      <c r="A102">
        <v>1089</v>
      </c>
      <c r="B102" t="s">
        <v>340</v>
      </c>
      <c r="C102">
        <v>56</v>
      </c>
      <c r="D102" t="s">
        <v>76</v>
      </c>
      <c r="E102" s="3" t="s">
        <v>341</v>
      </c>
      <c r="F102" s="3">
        <v>45634</v>
      </c>
      <c r="G102" t="s">
        <v>342</v>
      </c>
      <c r="H102" t="s">
        <v>19</v>
      </c>
      <c r="I102" t="s">
        <v>343</v>
      </c>
      <c r="J102">
        <v>1</v>
      </c>
      <c r="K102" t="str">
        <f t="shared" si="6"/>
        <v>Amanda Fuller</v>
      </c>
      <c r="L102" t="str">
        <f t="shared" si="7"/>
        <v>Male</v>
      </c>
      <c r="M102" t="str">
        <f t="shared" si="8"/>
        <v>Anthony Cruz</v>
      </c>
      <c r="N102" s="4" t="str">
        <f t="shared" si="9"/>
        <v>Orthopedics</v>
      </c>
      <c r="O102" s="6">
        <f t="shared" si="10"/>
        <v>347.68</v>
      </c>
      <c r="P102" s="4" t="str">
        <f t="shared" si="11"/>
        <v>Yes</v>
      </c>
      <c r="Q102" s="4" t="str">
        <f>IF(OR(A102="",C102="",L102="Missing",M102="Missing",O102="0.00",K102="Missing"),"Review","OK")</f>
        <v>OK</v>
      </c>
    </row>
    <row r="103" spans="1:17" x14ac:dyDescent="0.3">
      <c r="A103">
        <v>1092</v>
      </c>
      <c r="B103" t="s">
        <v>344</v>
      </c>
      <c r="C103">
        <v>40</v>
      </c>
      <c r="D103" t="s">
        <v>11</v>
      </c>
      <c r="E103" s="3">
        <v>46063</v>
      </c>
      <c r="F103" s="3">
        <v>46009</v>
      </c>
      <c r="G103" t="s">
        <v>345</v>
      </c>
      <c r="H103" t="s">
        <v>25</v>
      </c>
      <c r="I103" t="s">
        <v>346</v>
      </c>
      <c r="J103" t="s">
        <v>39</v>
      </c>
      <c r="K103" t="str">
        <f t="shared" si="6"/>
        <v>Tina Lewis</v>
      </c>
      <c r="L103" t="str">
        <f t="shared" si="7"/>
        <v>Female</v>
      </c>
      <c r="M103" t="str">
        <f t="shared" si="8"/>
        <v>Derrick Salazar</v>
      </c>
      <c r="N103" s="4" t="str">
        <f t="shared" si="9"/>
        <v>Neurology</v>
      </c>
      <c r="O103" s="6">
        <f t="shared" si="10"/>
        <v>59.67</v>
      </c>
      <c r="P103" s="4" t="str">
        <f t="shared" si="11"/>
        <v>Yes</v>
      </c>
      <c r="Q103" s="4" t="str">
        <f>IF(OR(A103="",C103="",L103="Missing",M103="Missing",O103="0.00",K103="Missing"),"Review","OK")</f>
        <v>OK</v>
      </c>
    </row>
    <row r="104" spans="1:17" x14ac:dyDescent="0.3">
      <c r="A104">
        <v>1088</v>
      </c>
      <c r="B104" t="s">
        <v>347</v>
      </c>
      <c r="C104">
        <v>60</v>
      </c>
      <c r="E104" s="3">
        <v>46100</v>
      </c>
      <c r="F104" s="3">
        <v>45583</v>
      </c>
      <c r="G104" t="s">
        <v>348</v>
      </c>
      <c r="H104" t="s">
        <v>29</v>
      </c>
      <c r="I104" t="s">
        <v>349</v>
      </c>
      <c r="J104" t="s">
        <v>39</v>
      </c>
      <c r="K104" t="str">
        <f t="shared" si="6"/>
        <v>Sarah Hahn</v>
      </c>
      <c r="L104" t="str">
        <f t="shared" si="7"/>
        <v>Missing</v>
      </c>
      <c r="M104" t="str">
        <f t="shared" si="8"/>
        <v>Theresa Lee</v>
      </c>
      <c r="N104" s="4" t="str">
        <f t="shared" si="9"/>
        <v>General</v>
      </c>
      <c r="O104" s="6">
        <f t="shared" si="10"/>
        <v>123.03</v>
      </c>
      <c r="P104" s="4" t="str">
        <f t="shared" si="11"/>
        <v>Yes</v>
      </c>
      <c r="Q104" s="4" t="str">
        <f>IF(OR(A104="",C104="",L104="Missing",M104="Missing",O104="0.00",K104="Missing"),"Review","OK")</f>
        <v>Review</v>
      </c>
    </row>
    <row r="105" spans="1:17" x14ac:dyDescent="0.3">
      <c r="A105">
        <v>1058</v>
      </c>
      <c r="B105" t="s">
        <v>350</v>
      </c>
      <c r="C105">
        <v>24</v>
      </c>
      <c r="D105" t="s">
        <v>11</v>
      </c>
      <c r="E105" s="3">
        <v>46069</v>
      </c>
      <c r="F105" s="3">
        <v>45895</v>
      </c>
      <c r="G105" t="s">
        <v>351</v>
      </c>
      <c r="H105" t="s">
        <v>29</v>
      </c>
      <c r="I105" t="s">
        <v>352</v>
      </c>
      <c r="J105">
        <v>0</v>
      </c>
      <c r="K105" t="str">
        <f t="shared" si="6"/>
        <v>Destiny Martin</v>
      </c>
      <c r="L105" t="str">
        <f t="shared" si="7"/>
        <v>Female</v>
      </c>
      <c r="M105" t="str">
        <f t="shared" si="8"/>
        <v>Lynn Jones</v>
      </c>
      <c r="N105" s="4" t="str">
        <f t="shared" si="9"/>
        <v>General</v>
      </c>
      <c r="O105" s="6">
        <f t="shared" si="10"/>
        <v>420.58</v>
      </c>
      <c r="P105" s="4" t="str">
        <f t="shared" si="11"/>
        <v>No</v>
      </c>
      <c r="Q105" s="4" t="str">
        <f>IF(OR(A105="",C105="",L105="Missing",M105="Missing",O105="0.00",K105="Missing"),"Review","OK")</f>
        <v>OK</v>
      </c>
    </row>
    <row r="106" spans="1:17" x14ac:dyDescent="0.3">
      <c r="A106">
        <v>1078</v>
      </c>
      <c r="B106" t="s">
        <v>353</v>
      </c>
      <c r="C106">
        <v>69</v>
      </c>
      <c r="D106">
        <v>1</v>
      </c>
      <c r="E106" s="3">
        <v>45988</v>
      </c>
      <c r="F106" s="3" t="s">
        <v>354</v>
      </c>
      <c r="G106" t="s">
        <v>355</v>
      </c>
      <c r="H106" t="s">
        <v>19</v>
      </c>
      <c r="I106" t="s">
        <v>356</v>
      </c>
      <c r="J106" t="s">
        <v>31</v>
      </c>
      <c r="K106" t="str">
        <f t="shared" si="6"/>
        <v>Megan Mitchell</v>
      </c>
      <c r="L106" t="str">
        <f t="shared" si="7"/>
        <v>Female</v>
      </c>
      <c r="M106" t="str">
        <f t="shared" si="8"/>
        <v>Desiree Giles</v>
      </c>
      <c r="N106" s="4" t="str">
        <f t="shared" si="9"/>
        <v>Orthopedics</v>
      </c>
      <c r="O106" s="6">
        <f t="shared" si="10"/>
        <v>351.17</v>
      </c>
      <c r="P106" s="4" t="str">
        <f t="shared" si="11"/>
        <v>No</v>
      </c>
      <c r="Q106" s="4" t="str">
        <f>IF(OR(A106="",C106="",L106="Missing",M106="Missing",O106="0.00",K106="Missing"),"Review","OK")</f>
        <v>OK</v>
      </c>
    </row>
    <row r="107" spans="1:17" x14ac:dyDescent="0.3">
      <c r="A107">
        <v>1027</v>
      </c>
      <c r="B107" t="s">
        <v>357</v>
      </c>
      <c r="C107">
        <v>32</v>
      </c>
      <c r="D107" t="s">
        <v>16</v>
      </c>
      <c r="E107" s="3">
        <v>46083</v>
      </c>
      <c r="F107" s="3">
        <v>46008</v>
      </c>
      <c r="G107" t="s">
        <v>358</v>
      </c>
      <c r="H107" t="s">
        <v>13</v>
      </c>
      <c r="I107" t="s">
        <v>359</v>
      </c>
      <c r="J107">
        <v>1</v>
      </c>
      <c r="K107" t="str">
        <f t="shared" si="6"/>
        <v>Benjamin Hughes</v>
      </c>
      <c r="L107" t="str">
        <f t="shared" si="7"/>
        <v>Female</v>
      </c>
      <c r="M107" t="str">
        <f t="shared" si="8"/>
        <v>Nicholas Mcneil</v>
      </c>
      <c r="N107" s="4" t="str">
        <f t="shared" si="9"/>
        <v>Cardiology</v>
      </c>
      <c r="O107" s="6">
        <f t="shared" si="10"/>
        <v>125.31</v>
      </c>
      <c r="P107" s="4" t="str">
        <f t="shared" si="11"/>
        <v>Yes</v>
      </c>
      <c r="Q107" s="4" t="str">
        <f>IF(OR(A107="",C107="",L107="Missing",M107="Missing",O107="0.00",K107="Missing"),"Review","OK")</f>
        <v>OK</v>
      </c>
    </row>
    <row r="108" spans="1:17" x14ac:dyDescent="0.3">
      <c r="A108">
        <v>1062</v>
      </c>
      <c r="B108" t="s">
        <v>360</v>
      </c>
      <c r="C108">
        <v>60</v>
      </c>
      <c r="D108" t="s">
        <v>56</v>
      </c>
      <c r="E108" s="3">
        <v>46049</v>
      </c>
      <c r="F108" s="3" t="s">
        <v>361</v>
      </c>
      <c r="G108" t="s">
        <v>362</v>
      </c>
      <c r="H108" t="s">
        <v>13</v>
      </c>
      <c r="I108" t="s">
        <v>363</v>
      </c>
      <c r="J108" t="s">
        <v>31</v>
      </c>
      <c r="K108" t="str">
        <f t="shared" si="6"/>
        <v>John Anderson</v>
      </c>
      <c r="L108" t="str">
        <f t="shared" si="7"/>
        <v>Male</v>
      </c>
      <c r="M108" t="str">
        <f t="shared" si="8"/>
        <v>Paul Blackburn</v>
      </c>
      <c r="N108" s="4" t="str">
        <f t="shared" si="9"/>
        <v>Cardiology</v>
      </c>
      <c r="O108" s="6">
        <f t="shared" si="10"/>
        <v>253.42</v>
      </c>
      <c r="P108" s="4" t="str">
        <f t="shared" si="11"/>
        <v>No</v>
      </c>
      <c r="Q108" s="4" t="str">
        <f>IF(OR(A108="",C108="",L108="Missing",M108="Missing",O108="0.00",K108="Missing"),"Review","OK")</f>
        <v>OK</v>
      </c>
    </row>
    <row r="109" spans="1:17" x14ac:dyDescent="0.3">
      <c r="A109">
        <v>1015</v>
      </c>
      <c r="B109" t="s">
        <v>364</v>
      </c>
      <c r="C109">
        <v>68</v>
      </c>
      <c r="D109" t="s">
        <v>16</v>
      </c>
      <c r="E109" s="3">
        <v>45850</v>
      </c>
      <c r="F109" s="3" t="s">
        <v>365</v>
      </c>
      <c r="G109" t="s">
        <v>366</v>
      </c>
      <c r="H109" t="s">
        <v>19</v>
      </c>
      <c r="I109" t="s">
        <v>367</v>
      </c>
      <c r="J109" t="s">
        <v>21</v>
      </c>
      <c r="K109" t="str">
        <f t="shared" si="6"/>
        <v>Chelsea Matthews</v>
      </c>
      <c r="L109" t="str">
        <f t="shared" si="7"/>
        <v>Female</v>
      </c>
      <c r="M109" t="str">
        <f t="shared" si="8"/>
        <v>Elizabeth Obrien</v>
      </c>
      <c r="N109" s="4" t="str">
        <f t="shared" si="9"/>
        <v>Orthopedics</v>
      </c>
      <c r="O109" s="6">
        <f t="shared" si="10"/>
        <v>359.78</v>
      </c>
      <c r="P109" s="4" t="str">
        <f t="shared" si="11"/>
        <v>Yes</v>
      </c>
      <c r="Q109" s="4" t="str">
        <f>IF(OR(A109="",C109="",L109="Missing",M109="Missing",O109="0.00",K109="Missing"),"Review","OK")</f>
        <v>OK</v>
      </c>
    </row>
    <row r="110" spans="1:17" x14ac:dyDescent="0.3">
      <c r="A110">
        <v>1018</v>
      </c>
      <c r="B110" t="s">
        <v>368</v>
      </c>
      <c r="C110">
        <v>53</v>
      </c>
      <c r="E110" s="3">
        <v>45941</v>
      </c>
      <c r="F110" s="3">
        <v>45381</v>
      </c>
      <c r="G110" t="s">
        <v>369</v>
      </c>
      <c r="H110" t="s">
        <v>25</v>
      </c>
      <c r="I110" t="s">
        <v>370</v>
      </c>
      <c r="J110" t="s">
        <v>39</v>
      </c>
      <c r="K110" t="str">
        <f t="shared" si="6"/>
        <v>Monica Horton</v>
      </c>
      <c r="L110" t="str">
        <f t="shared" si="7"/>
        <v>Missing</v>
      </c>
      <c r="M110" t="str">
        <f t="shared" si="8"/>
        <v>Kayla Stein</v>
      </c>
      <c r="N110" s="4" t="str">
        <f t="shared" si="9"/>
        <v>Neurology</v>
      </c>
      <c r="O110" s="6">
        <f t="shared" si="10"/>
        <v>277.20999999999998</v>
      </c>
      <c r="P110" s="4" t="str">
        <f t="shared" si="11"/>
        <v>Yes</v>
      </c>
      <c r="Q110" s="4" t="str">
        <f>IF(OR(A110="",C110="",L110="Missing",M110="Missing",O110="0.00",K110="Missing"),"Review","OK")</f>
        <v>Review</v>
      </c>
    </row>
    <row r="111" spans="1:17" x14ac:dyDescent="0.3">
      <c r="A111">
        <v>1061</v>
      </c>
      <c r="B111" t="s">
        <v>371</v>
      </c>
      <c r="C111">
        <v>18</v>
      </c>
      <c r="D111" t="s">
        <v>56</v>
      </c>
      <c r="E111" s="3">
        <v>46103</v>
      </c>
      <c r="F111" s="3">
        <v>45570</v>
      </c>
      <c r="G111" t="s">
        <v>372</v>
      </c>
      <c r="H111" t="s">
        <v>25</v>
      </c>
      <c r="I111" t="s">
        <v>373</v>
      </c>
      <c r="J111" t="s">
        <v>31</v>
      </c>
      <c r="K111" t="str">
        <f t="shared" si="6"/>
        <v>Joanna Tucker</v>
      </c>
      <c r="L111" t="str">
        <f t="shared" si="7"/>
        <v>Male</v>
      </c>
      <c r="M111" t="str">
        <f t="shared" si="8"/>
        <v>Andrew Gray</v>
      </c>
      <c r="N111" s="4" t="str">
        <f t="shared" si="9"/>
        <v>Neurology</v>
      </c>
      <c r="O111" s="6">
        <f t="shared" si="10"/>
        <v>84.69</v>
      </c>
      <c r="P111" s="4" t="str">
        <f t="shared" si="11"/>
        <v>No</v>
      </c>
      <c r="Q111" s="4" t="str">
        <f>IF(OR(A111="",C111="",L111="Missing",M111="Missing",O111="0.00",K111="Missing"),"Review","OK")</f>
        <v>OK</v>
      </c>
    </row>
    <row r="112" spans="1:17" x14ac:dyDescent="0.3">
      <c r="A112">
        <v>1013</v>
      </c>
      <c r="B112" t="s">
        <v>374</v>
      </c>
      <c r="C112">
        <v>60</v>
      </c>
      <c r="D112">
        <v>0</v>
      </c>
      <c r="E112" s="3">
        <v>45759</v>
      </c>
      <c r="F112" s="3" t="s">
        <v>375</v>
      </c>
      <c r="G112" t="s">
        <v>376</v>
      </c>
      <c r="H112" t="s">
        <v>25</v>
      </c>
      <c r="I112" t="s">
        <v>377</v>
      </c>
      <c r="J112" t="s">
        <v>39</v>
      </c>
      <c r="K112" t="str">
        <f t="shared" si="6"/>
        <v>Dr. Peggy Mendoza</v>
      </c>
      <c r="L112" t="str">
        <f t="shared" si="7"/>
        <v>Male</v>
      </c>
      <c r="M112" t="str">
        <f t="shared" si="8"/>
        <v>Ashley Flowers</v>
      </c>
      <c r="N112" s="4" t="str">
        <f t="shared" si="9"/>
        <v>Neurology</v>
      </c>
      <c r="O112" s="6">
        <f t="shared" si="10"/>
        <v>96.94</v>
      </c>
      <c r="P112" s="4" t="str">
        <f t="shared" si="11"/>
        <v>Yes</v>
      </c>
      <c r="Q112" s="4" t="str">
        <f>IF(OR(A112="",C112="",L112="Missing",M112="Missing",O112="0.00",K112="Missing"),"Review","OK")</f>
        <v>OK</v>
      </c>
    </row>
    <row r="113" spans="1:17" x14ac:dyDescent="0.3">
      <c r="A113">
        <v>1087</v>
      </c>
      <c r="B113" t="s">
        <v>378</v>
      </c>
      <c r="C113">
        <v>72</v>
      </c>
      <c r="D113" t="s">
        <v>41</v>
      </c>
      <c r="E113" s="3" t="s">
        <v>379</v>
      </c>
      <c r="F113" s="3" t="s">
        <v>380</v>
      </c>
      <c r="G113" t="s">
        <v>381</v>
      </c>
      <c r="H113" t="s">
        <v>29</v>
      </c>
      <c r="I113" t="s">
        <v>382</v>
      </c>
      <c r="J113">
        <v>1</v>
      </c>
      <c r="K113" t="str">
        <f t="shared" si="6"/>
        <v>Victoria Gomez</v>
      </c>
      <c r="L113" t="str">
        <f t="shared" si="7"/>
        <v>Female</v>
      </c>
      <c r="M113" t="str">
        <f t="shared" si="8"/>
        <v>Nicole Chandler</v>
      </c>
      <c r="N113" s="4" t="str">
        <f t="shared" si="9"/>
        <v>General</v>
      </c>
      <c r="O113" s="6">
        <f t="shared" si="10"/>
        <v>205.35</v>
      </c>
      <c r="P113" s="4" t="str">
        <f t="shared" si="11"/>
        <v>Yes</v>
      </c>
      <c r="Q113" s="4" t="str">
        <f>IF(OR(A113="",C113="",L113="Missing",M113="Missing",O113="0.00",K113="Missing"),"Review","OK")</f>
        <v>OK</v>
      </c>
    </row>
    <row r="114" spans="1:17" x14ac:dyDescent="0.3">
      <c r="A114">
        <v>1090</v>
      </c>
      <c r="B114" t="s">
        <v>383</v>
      </c>
      <c r="C114">
        <v>63</v>
      </c>
      <c r="D114" t="s">
        <v>16</v>
      </c>
      <c r="E114" s="3" t="s">
        <v>384</v>
      </c>
      <c r="F114" s="3">
        <v>46013</v>
      </c>
      <c r="G114" t="s">
        <v>385</v>
      </c>
      <c r="H114" t="s">
        <v>25</v>
      </c>
      <c r="I114" t="s">
        <v>386</v>
      </c>
      <c r="J114" t="s">
        <v>21</v>
      </c>
      <c r="K114" t="str">
        <f t="shared" si="6"/>
        <v>Daniel Rivera</v>
      </c>
      <c r="L114" t="str">
        <f t="shared" si="7"/>
        <v>Female</v>
      </c>
      <c r="M114" t="str">
        <f t="shared" si="8"/>
        <v>Morgan Green</v>
      </c>
      <c r="N114" s="4" t="str">
        <f t="shared" si="9"/>
        <v>Neurology</v>
      </c>
      <c r="O114" s="6">
        <f t="shared" si="10"/>
        <v>155.41999999999999</v>
      </c>
      <c r="P114" s="4" t="str">
        <f t="shared" si="11"/>
        <v>Yes</v>
      </c>
      <c r="Q114" s="4" t="str">
        <f>IF(OR(A114="",C114="",L114="Missing",M114="Missing",O114="0.00",K114="Missing"),"Review","OK")</f>
        <v>OK</v>
      </c>
    </row>
    <row r="115" spans="1:17" x14ac:dyDescent="0.3">
      <c r="A115">
        <v>1086</v>
      </c>
      <c r="B115" t="s">
        <v>387</v>
      </c>
      <c r="C115">
        <v>80</v>
      </c>
      <c r="D115" t="s">
        <v>41</v>
      </c>
      <c r="E115" s="3">
        <v>45669</v>
      </c>
      <c r="F115" s="3">
        <v>45593</v>
      </c>
      <c r="G115" t="s">
        <v>388</v>
      </c>
      <c r="H115" t="s">
        <v>19</v>
      </c>
      <c r="I115" t="s">
        <v>389</v>
      </c>
      <c r="J115" t="s">
        <v>39</v>
      </c>
      <c r="K115" t="str">
        <f t="shared" si="6"/>
        <v>Harry Wallace</v>
      </c>
      <c r="L115" t="str">
        <f t="shared" si="7"/>
        <v>Female</v>
      </c>
      <c r="M115" t="str">
        <f t="shared" si="8"/>
        <v>Nancy Hernandez</v>
      </c>
      <c r="N115" s="4" t="str">
        <f t="shared" si="9"/>
        <v>Orthopedics</v>
      </c>
      <c r="O115" s="6">
        <f t="shared" si="10"/>
        <v>493</v>
      </c>
      <c r="P115" s="4" t="str">
        <f t="shared" si="11"/>
        <v>Yes</v>
      </c>
      <c r="Q115" s="4" t="str">
        <f>IF(OR(A115="",C115="",L115="Missing",M115="Missing",O115="0.00",K115="Missing"),"Review","OK")</f>
        <v>OK</v>
      </c>
    </row>
    <row r="116" spans="1:17" x14ac:dyDescent="0.3">
      <c r="A116">
        <v>1047</v>
      </c>
      <c r="B116" t="s">
        <v>390</v>
      </c>
      <c r="C116">
        <v>39</v>
      </c>
      <c r="D116" t="s">
        <v>23</v>
      </c>
      <c r="E116" s="3">
        <v>45983</v>
      </c>
      <c r="F116" s="3">
        <v>45610</v>
      </c>
      <c r="G116" t="s">
        <v>391</v>
      </c>
      <c r="H116" t="s">
        <v>25</v>
      </c>
      <c r="I116" t="s">
        <v>392</v>
      </c>
      <c r="J116">
        <v>0</v>
      </c>
      <c r="K116" t="str">
        <f t="shared" si="6"/>
        <v>Alicia Scott</v>
      </c>
      <c r="L116" t="str">
        <f t="shared" si="7"/>
        <v>Male</v>
      </c>
      <c r="M116" t="str">
        <f t="shared" si="8"/>
        <v>William Cochran</v>
      </c>
      <c r="N116" s="4" t="str">
        <f t="shared" si="9"/>
        <v>Neurology</v>
      </c>
      <c r="O116" s="6">
        <f t="shared" si="10"/>
        <v>243.15</v>
      </c>
      <c r="P116" s="4" t="str">
        <f t="shared" si="11"/>
        <v>No</v>
      </c>
      <c r="Q116" s="4" t="str">
        <f>IF(OR(A116="",C116="",L116="Missing",M116="Missing",O116="0.00",K116="Missing"),"Review","OK")</f>
        <v>OK</v>
      </c>
    </row>
    <row r="117" spans="1:17" x14ac:dyDescent="0.3">
      <c r="A117">
        <v>1014</v>
      </c>
      <c r="B117" t="s">
        <v>393</v>
      </c>
      <c r="C117">
        <v>81</v>
      </c>
      <c r="D117" t="s">
        <v>11</v>
      </c>
      <c r="E117" s="3">
        <v>45809</v>
      </c>
      <c r="F117" s="3">
        <v>45523</v>
      </c>
      <c r="G117" t="s">
        <v>394</v>
      </c>
      <c r="H117" t="s">
        <v>13</v>
      </c>
      <c r="I117" t="s">
        <v>395</v>
      </c>
      <c r="J117" t="s">
        <v>65</v>
      </c>
      <c r="K117" t="str">
        <f t="shared" si="6"/>
        <v>Melissa Lane</v>
      </c>
      <c r="L117" t="str">
        <f t="shared" si="7"/>
        <v>Female</v>
      </c>
      <c r="M117" t="str">
        <f t="shared" si="8"/>
        <v>Vanessa Pittman</v>
      </c>
      <c r="N117" s="4" t="str">
        <f t="shared" si="9"/>
        <v>Cardiology</v>
      </c>
      <c r="O117" s="6">
        <f t="shared" si="10"/>
        <v>122.6</v>
      </c>
      <c r="P117" s="4" t="str">
        <f t="shared" si="11"/>
        <v>No</v>
      </c>
      <c r="Q117" s="4" t="str">
        <f>IF(OR(A117="",C117="",L117="Missing",M117="Missing",O117="0.00",K117="Missing"),"Review","OK")</f>
        <v>OK</v>
      </c>
    </row>
    <row r="118" spans="1:17" x14ac:dyDescent="0.3">
      <c r="A118">
        <v>1047</v>
      </c>
      <c r="B118" t="s">
        <v>396</v>
      </c>
      <c r="C118">
        <v>38</v>
      </c>
      <c r="D118" t="s">
        <v>23</v>
      </c>
      <c r="E118" s="3">
        <v>46006</v>
      </c>
      <c r="F118" s="3">
        <v>45651</v>
      </c>
      <c r="G118" t="s">
        <v>397</v>
      </c>
      <c r="H118" t="s">
        <v>13</v>
      </c>
      <c r="I118" t="s">
        <v>398</v>
      </c>
      <c r="J118" t="s">
        <v>21</v>
      </c>
      <c r="K118" t="str">
        <f t="shared" si="6"/>
        <v>Olivia Lambert</v>
      </c>
      <c r="L118" t="str">
        <f t="shared" si="7"/>
        <v>Male</v>
      </c>
      <c r="M118" t="str">
        <f t="shared" si="8"/>
        <v>Melanie Blanchard</v>
      </c>
      <c r="N118" s="4" t="str">
        <f t="shared" si="9"/>
        <v>Cardiology</v>
      </c>
      <c r="O118" s="6">
        <f t="shared" si="10"/>
        <v>100.34</v>
      </c>
      <c r="P118" s="4" t="str">
        <f t="shared" si="11"/>
        <v>Yes</v>
      </c>
      <c r="Q118" s="4" t="str">
        <f>IF(OR(A118="",C118="",L118="Missing",M118="Missing",O118="0.00",K118="Missing"),"Review","OK")</f>
        <v>OK</v>
      </c>
    </row>
    <row r="119" spans="1:17" x14ac:dyDescent="0.3">
      <c r="A119">
        <v>1073</v>
      </c>
      <c r="B119" t="s">
        <v>399</v>
      </c>
      <c r="C119">
        <v>38</v>
      </c>
      <c r="D119">
        <v>0</v>
      </c>
      <c r="E119" s="3" t="s">
        <v>400</v>
      </c>
      <c r="F119" s="3">
        <v>45849</v>
      </c>
      <c r="G119" t="s">
        <v>401</v>
      </c>
      <c r="H119" t="s">
        <v>19</v>
      </c>
      <c r="I119" t="s">
        <v>402</v>
      </c>
      <c r="J119" t="s">
        <v>65</v>
      </c>
      <c r="K119" t="str">
        <f t="shared" si="6"/>
        <v>Russell Taylor</v>
      </c>
      <c r="L119" t="str">
        <f t="shared" si="7"/>
        <v>Male</v>
      </c>
      <c r="M119" t="str">
        <f t="shared" si="8"/>
        <v>Breanna Gray</v>
      </c>
      <c r="N119" s="4" t="str">
        <f t="shared" si="9"/>
        <v>Orthopedics</v>
      </c>
      <c r="O119" s="6">
        <f t="shared" si="10"/>
        <v>335.07</v>
      </c>
      <c r="P119" s="4" t="str">
        <f t="shared" si="11"/>
        <v>No</v>
      </c>
      <c r="Q119" s="4" t="str">
        <f>IF(OR(A119="",C119="",L119="Missing",M119="Missing",O119="0.00",K119="Missing"),"Review","OK")</f>
        <v>OK</v>
      </c>
    </row>
    <row r="120" spans="1:17" x14ac:dyDescent="0.3">
      <c r="A120">
        <v>1093</v>
      </c>
      <c r="B120" t="s">
        <v>403</v>
      </c>
      <c r="C120">
        <v>79</v>
      </c>
      <c r="D120" t="s">
        <v>11</v>
      </c>
      <c r="E120" s="3" t="s">
        <v>404</v>
      </c>
      <c r="F120" s="3">
        <v>45470</v>
      </c>
      <c r="G120" t="s">
        <v>405</v>
      </c>
      <c r="H120" t="s">
        <v>19</v>
      </c>
      <c r="I120" t="s">
        <v>406</v>
      </c>
      <c r="J120" t="s">
        <v>21</v>
      </c>
      <c r="K120" t="str">
        <f t="shared" si="6"/>
        <v>Joshua Sanchez Dds</v>
      </c>
      <c r="L120" t="str">
        <f t="shared" si="7"/>
        <v>Female</v>
      </c>
      <c r="M120" t="str">
        <f t="shared" si="8"/>
        <v>George Flores</v>
      </c>
      <c r="N120" s="4" t="str">
        <f t="shared" si="9"/>
        <v>Orthopedics</v>
      </c>
      <c r="O120" s="6">
        <f t="shared" si="10"/>
        <v>154.29</v>
      </c>
      <c r="P120" s="4" t="str">
        <f t="shared" si="11"/>
        <v>Yes</v>
      </c>
      <c r="Q120" s="4" t="str">
        <f>IF(OR(A120="",C120="",L120="Missing",M120="Missing",O120="0.00",K120="Missing"),"Review","OK")</f>
        <v>OK</v>
      </c>
    </row>
    <row r="121" spans="1:17" x14ac:dyDescent="0.3">
      <c r="A121">
        <v>1027</v>
      </c>
      <c r="B121" t="s">
        <v>407</v>
      </c>
      <c r="C121">
        <v>54</v>
      </c>
      <c r="D121" t="s">
        <v>41</v>
      </c>
      <c r="E121" s="3" t="s">
        <v>408</v>
      </c>
      <c r="F121" s="3">
        <v>45804</v>
      </c>
      <c r="G121" t="s">
        <v>409</v>
      </c>
      <c r="H121" t="s">
        <v>19</v>
      </c>
      <c r="I121" t="s">
        <v>410</v>
      </c>
      <c r="J121">
        <v>0</v>
      </c>
      <c r="K121" t="str">
        <f t="shared" si="6"/>
        <v>Kayla Drake</v>
      </c>
      <c r="L121" t="str">
        <f t="shared" si="7"/>
        <v>Female</v>
      </c>
      <c r="M121" t="str">
        <f t="shared" si="8"/>
        <v>Jennifer Long Dds</v>
      </c>
      <c r="N121" s="4" t="str">
        <f t="shared" si="9"/>
        <v>Orthopedics</v>
      </c>
      <c r="O121" s="6">
        <f t="shared" si="10"/>
        <v>412.07</v>
      </c>
      <c r="P121" s="4" t="str">
        <f t="shared" si="11"/>
        <v>No</v>
      </c>
      <c r="Q121" s="4" t="str">
        <f>IF(OR(A121="",C121="",L121="Missing",M121="Missing",O121="0.00",K121="Missing"),"Review","OK")</f>
        <v>OK</v>
      </c>
    </row>
    <row r="122" spans="1:17" x14ac:dyDescent="0.3">
      <c r="A122">
        <v>1037</v>
      </c>
      <c r="B122" t="s">
        <v>411</v>
      </c>
      <c r="C122">
        <v>22</v>
      </c>
      <c r="D122" t="s">
        <v>41</v>
      </c>
      <c r="E122" s="3">
        <v>46081</v>
      </c>
      <c r="F122" s="3">
        <v>45738</v>
      </c>
      <c r="G122" t="s">
        <v>412</v>
      </c>
      <c r="H122" t="s">
        <v>25</v>
      </c>
      <c r="I122" t="s">
        <v>413</v>
      </c>
      <c r="J122">
        <v>1</v>
      </c>
      <c r="K122" t="str">
        <f t="shared" si="6"/>
        <v>Karen Carter</v>
      </c>
      <c r="L122" t="str">
        <f t="shared" si="7"/>
        <v>Female</v>
      </c>
      <c r="M122" t="str">
        <f t="shared" si="8"/>
        <v>Chase Clark</v>
      </c>
      <c r="N122" s="4" t="str">
        <f t="shared" si="9"/>
        <v>Neurology</v>
      </c>
      <c r="O122" s="6">
        <f t="shared" si="10"/>
        <v>401.33</v>
      </c>
      <c r="P122" s="4" t="str">
        <f t="shared" si="11"/>
        <v>Yes</v>
      </c>
      <c r="Q122" s="4" t="str">
        <f>IF(OR(A122="",C122="",L122="Missing",M122="Missing",O122="0.00",K122="Missing"),"Review","OK")</f>
        <v>OK</v>
      </c>
    </row>
    <row r="123" spans="1:17" x14ac:dyDescent="0.3">
      <c r="A123">
        <v>1021</v>
      </c>
      <c r="B123" t="s">
        <v>414</v>
      </c>
      <c r="C123">
        <v>27</v>
      </c>
      <c r="D123">
        <v>0</v>
      </c>
      <c r="E123" s="3">
        <v>45781</v>
      </c>
      <c r="F123" s="3">
        <v>45484</v>
      </c>
      <c r="G123" t="s">
        <v>415</v>
      </c>
      <c r="H123" t="s">
        <v>29</v>
      </c>
      <c r="I123" t="s">
        <v>416</v>
      </c>
      <c r="J123">
        <v>1</v>
      </c>
      <c r="K123" t="str">
        <f t="shared" si="6"/>
        <v>Andrew Baker</v>
      </c>
      <c r="L123" t="str">
        <f t="shared" si="7"/>
        <v>Male</v>
      </c>
      <c r="M123" t="str">
        <f t="shared" si="8"/>
        <v>Michael Gillespie</v>
      </c>
      <c r="N123" s="4" t="str">
        <f t="shared" si="9"/>
        <v>General</v>
      </c>
      <c r="O123" s="6">
        <f t="shared" si="10"/>
        <v>486.57</v>
      </c>
      <c r="P123" s="4" t="str">
        <f t="shared" si="11"/>
        <v>Yes</v>
      </c>
      <c r="Q123" s="4" t="str">
        <f>IF(OR(A123="",C123="",L123="Missing",M123="Missing",O123="0.00",K123="Missing"),"Review","OK")</f>
        <v>OK</v>
      </c>
    </row>
    <row r="124" spans="1:17" x14ac:dyDescent="0.3">
      <c r="A124">
        <v>1007</v>
      </c>
      <c r="B124" t="s">
        <v>417</v>
      </c>
      <c r="C124">
        <v>20</v>
      </c>
      <c r="D124" t="s">
        <v>56</v>
      </c>
      <c r="E124" s="3">
        <v>45977</v>
      </c>
      <c r="F124" s="3" t="s">
        <v>418</v>
      </c>
      <c r="G124" t="s">
        <v>419</v>
      </c>
      <c r="H124" t="s">
        <v>29</v>
      </c>
      <c r="I124" t="s">
        <v>420</v>
      </c>
      <c r="J124">
        <v>0</v>
      </c>
      <c r="K124" t="str">
        <f t="shared" si="6"/>
        <v>Richard Hernandez</v>
      </c>
      <c r="L124" t="str">
        <f t="shared" si="7"/>
        <v>Male</v>
      </c>
      <c r="M124" t="str">
        <f t="shared" si="8"/>
        <v>Daniel Bradley</v>
      </c>
      <c r="N124" s="4" t="str">
        <f t="shared" si="9"/>
        <v>General</v>
      </c>
      <c r="O124" s="6">
        <f t="shared" si="10"/>
        <v>482.25</v>
      </c>
      <c r="P124" s="4" t="str">
        <f t="shared" si="11"/>
        <v>No</v>
      </c>
      <c r="Q124" s="4" t="str">
        <f>IF(OR(A124="",C124="",L124="Missing",M124="Missing",O124="0.00",K124="Missing"),"Review","OK")</f>
        <v>OK</v>
      </c>
    </row>
    <row r="125" spans="1:17" x14ac:dyDescent="0.3">
      <c r="A125">
        <v>1043</v>
      </c>
      <c r="B125" t="s">
        <v>421</v>
      </c>
      <c r="C125">
        <v>31</v>
      </c>
      <c r="D125">
        <v>1</v>
      </c>
      <c r="E125" s="3">
        <v>45723</v>
      </c>
      <c r="F125" s="3" t="s">
        <v>422</v>
      </c>
      <c r="G125" t="s">
        <v>423</v>
      </c>
      <c r="H125" t="s">
        <v>19</v>
      </c>
      <c r="I125" t="s">
        <v>424</v>
      </c>
      <c r="J125" t="s">
        <v>65</v>
      </c>
      <c r="K125" t="str">
        <f t="shared" si="6"/>
        <v>Matthew Rivera</v>
      </c>
      <c r="L125" t="str">
        <f t="shared" si="7"/>
        <v>Female</v>
      </c>
      <c r="M125" t="str">
        <f t="shared" si="8"/>
        <v>Theodore Bean</v>
      </c>
      <c r="N125" s="4" t="str">
        <f t="shared" si="9"/>
        <v>Orthopedics</v>
      </c>
      <c r="O125" s="6">
        <f t="shared" si="10"/>
        <v>255.82</v>
      </c>
      <c r="P125" s="4" t="str">
        <f t="shared" si="11"/>
        <v>No</v>
      </c>
      <c r="Q125" s="4" t="str">
        <f>IF(OR(A125="",C125="",L125="Missing",M125="Missing",O125="0.00",K125="Missing"),"Review","OK")</f>
        <v>OK</v>
      </c>
    </row>
    <row r="126" spans="1:17" x14ac:dyDescent="0.3">
      <c r="A126">
        <v>1081</v>
      </c>
      <c r="B126" t="s">
        <v>425</v>
      </c>
      <c r="C126">
        <v>86</v>
      </c>
      <c r="D126">
        <v>1</v>
      </c>
      <c r="E126" s="3" t="s">
        <v>426</v>
      </c>
      <c r="F126" s="3">
        <v>45769</v>
      </c>
      <c r="G126" t="s">
        <v>427</v>
      </c>
      <c r="H126" t="s">
        <v>29</v>
      </c>
      <c r="I126" t="s">
        <v>428</v>
      </c>
      <c r="J126" t="s">
        <v>31</v>
      </c>
      <c r="K126" t="str">
        <f t="shared" si="6"/>
        <v>Benjamin Jenkins</v>
      </c>
      <c r="L126" t="str">
        <f t="shared" si="7"/>
        <v>Female</v>
      </c>
      <c r="M126" t="str">
        <f t="shared" si="8"/>
        <v>Michael Bond</v>
      </c>
      <c r="N126" s="4" t="str">
        <f t="shared" si="9"/>
        <v>General</v>
      </c>
      <c r="O126" s="6">
        <f t="shared" si="10"/>
        <v>258.12</v>
      </c>
      <c r="P126" s="4" t="str">
        <f t="shared" si="11"/>
        <v>No</v>
      </c>
      <c r="Q126" s="4" t="str">
        <f>IF(OR(A126="",C126="",L126="Missing",M126="Missing",O126="0.00",K126="Missing"),"Review","OK")</f>
        <v>OK</v>
      </c>
    </row>
    <row r="127" spans="1:17" x14ac:dyDescent="0.3">
      <c r="A127">
        <v>1053</v>
      </c>
      <c r="B127" t="s">
        <v>429</v>
      </c>
      <c r="C127">
        <v>81</v>
      </c>
      <c r="E127" s="3">
        <v>45770</v>
      </c>
      <c r="F127" s="3">
        <v>45656</v>
      </c>
      <c r="G127" t="s">
        <v>430</v>
      </c>
      <c r="H127" t="s">
        <v>29</v>
      </c>
      <c r="I127" t="s">
        <v>431</v>
      </c>
      <c r="J127" t="s">
        <v>65</v>
      </c>
      <c r="K127" t="str">
        <f t="shared" si="6"/>
        <v>John Johnson</v>
      </c>
      <c r="L127" t="str">
        <f t="shared" si="7"/>
        <v>Missing</v>
      </c>
      <c r="M127" t="str">
        <f t="shared" si="8"/>
        <v>Steve Bush</v>
      </c>
      <c r="N127" s="4" t="str">
        <f t="shared" si="9"/>
        <v>General</v>
      </c>
      <c r="O127" s="6">
        <f t="shared" si="10"/>
        <v>162.94</v>
      </c>
      <c r="P127" s="4" t="str">
        <f t="shared" si="11"/>
        <v>No</v>
      </c>
      <c r="Q127" s="4" t="str">
        <f>IF(OR(A127="",C127="",L127="Missing",M127="Missing",O127="0.00",K127="Missing"),"Review","OK")</f>
        <v>Review</v>
      </c>
    </row>
    <row r="128" spans="1:17" x14ac:dyDescent="0.3">
      <c r="A128">
        <v>1035</v>
      </c>
      <c r="B128" t="s">
        <v>432</v>
      </c>
      <c r="C128">
        <v>58</v>
      </c>
      <c r="D128" t="s">
        <v>23</v>
      </c>
      <c r="E128" s="3">
        <v>46045</v>
      </c>
      <c r="F128" s="3">
        <v>45396</v>
      </c>
      <c r="G128" t="s">
        <v>433</v>
      </c>
      <c r="H128" t="s">
        <v>13</v>
      </c>
      <c r="I128" t="s">
        <v>434</v>
      </c>
      <c r="J128" t="s">
        <v>21</v>
      </c>
      <c r="K128" t="str">
        <f t="shared" si="6"/>
        <v>Martha Zavala</v>
      </c>
      <c r="L128" t="str">
        <f t="shared" si="7"/>
        <v>Male</v>
      </c>
      <c r="M128" t="str">
        <f t="shared" si="8"/>
        <v>Penny Freeman</v>
      </c>
      <c r="N128" s="4" t="str">
        <f t="shared" si="9"/>
        <v>Cardiology</v>
      </c>
      <c r="O128" s="6">
        <f t="shared" si="10"/>
        <v>153.05000000000001</v>
      </c>
      <c r="P128" s="4" t="str">
        <f t="shared" si="11"/>
        <v>Yes</v>
      </c>
      <c r="Q128" s="4" t="str">
        <f>IF(OR(A128="",C128="",L128="Missing",M128="Missing",O128="0.00",K128="Missing"),"Review","OK")</f>
        <v>OK</v>
      </c>
    </row>
    <row r="129" spans="1:17" x14ac:dyDescent="0.3">
      <c r="A129">
        <v>1036</v>
      </c>
      <c r="B129" t="s">
        <v>435</v>
      </c>
      <c r="C129">
        <v>38</v>
      </c>
      <c r="D129">
        <v>1</v>
      </c>
      <c r="E129" s="3">
        <v>45742</v>
      </c>
      <c r="F129" s="3">
        <v>45718</v>
      </c>
      <c r="G129" t="s">
        <v>436</v>
      </c>
      <c r="H129" t="s">
        <v>13</v>
      </c>
      <c r="I129" t="s">
        <v>437</v>
      </c>
      <c r="J129" t="s">
        <v>65</v>
      </c>
      <c r="K129" t="str">
        <f t="shared" si="6"/>
        <v>Daniel Ballard</v>
      </c>
      <c r="L129" t="str">
        <f t="shared" si="7"/>
        <v>Female</v>
      </c>
      <c r="M129" t="str">
        <f t="shared" si="8"/>
        <v>Willie Williams</v>
      </c>
      <c r="N129" s="4" t="str">
        <f t="shared" si="9"/>
        <v>Cardiology</v>
      </c>
      <c r="O129" s="6">
        <f t="shared" si="10"/>
        <v>114.64</v>
      </c>
      <c r="P129" s="4" t="str">
        <f t="shared" si="11"/>
        <v>No</v>
      </c>
      <c r="Q129" s="4" t="str">
        <f>IF(OR(A129="",C129="",L129="Missing",M129="Missing",O129="0.00",K129="Missing"),"Review","OK")</f>
        <v>OK</v>
      </c>
    </row>
    <row r="130" spans="1:17" x14ac:dyDescent="0.3">
      <c r="A130">
        <v>1052</v>
      </c>
      <c r="B130" t="s">
        <v>438</v>
      </c>
      <c r="C130">
        <v>22</v>
      </c>
      <c r="D130" t="s">
        <v>41</v>
      </c>
      <c r="E130" s="3" t="s">
        <v>439</v>
      </c>
      <c r="F130" s="3">
        <v>45663</v>
      </c>
      <c r="G130" t="s">
        <v>440</v>
      </c>
      <c r="H130" t="s">
        <v>19</v>
      </c>
      <c r="I130" t="s">
        <v>441</v>
      </c>
      <c r="J130">
        <v>0</v>
      </c>
      <c r="K130" t="str">
        <f t="shared" ref="K130:K193" si="12">PROPER(TRIM(CLEAN(B130)))</f>
        <v>Mariah Davis</v>
      </c>
      <c r="L130" t="str">
        <f t="shared" ref="L130:L193" si="13">_xlfn.LET(_xlpm.x,LOWER(TRIM(D130)),
IF(OR(_xlpm.x="f",_xlpm.x="female",_xlpm.x="1"),"Female",
IF(OR(_xlpm.x="m",_xlpm.x="male",_xlpm.x="0"),"Male",
IF(_xlpm.x="","Missing","Review"))))</f>
        <v>Female</v>
      </c>
      <c r="M130" t="str">
        <f t="shared" ref="M130:M193" si="14">PROPER(TRIM(CLEAN(G130)))</f>
        <v>Douglas Ford</v>
      </c>
      <c r="N130" s="4" t="str">
        <f t="shared" ref="N130:N193" si="15">PROPER(TRIM(CLEAN(H130)))</f>
        <v>Orthopedics</v>
      </c>
      <c r="O130" s="6">
        <f t="shared" ref="O130:O193" si="16">_xlfn.LET(_xlpm.x,TRIM(I130),IF(_xlpm.x="","0.00",IFERROR(VALUE(SUBSTITUTE(SUBSTITUTE(SUBSTITUTE(SUBSTITUTE(SUBSTITUTE(SUBSTITUTE(_xlpm.x,"Â£",""),"â‚¬",""),"$",""),"Rs",""),"£",""),"€","")),"0.00")))</f>
        <v>381.62</v>
      </c>
      <c r="P130" s="4" t="str">
        <f t="shared" ref="P130:P193" si="17">_xlfn.LET(_xlpm.x,LOWER(TRIM(J130)),
IF(OR(_xlpm.x="y",_xlpm.x="yes",_xlpm.x="1"),"Yes",
IF(OR(_xlpm.x="n",_xlpm.x="no",_xlpm.x="0"),"No",
IF(_xlpm.x="","Missing","Review"))))</f>
        <v>No</v>
      </c>
      <c r="Q130" s="4" t="str">
        <f>IF(OR(A130="",C130="",L130="Missing",M130="Missing",O130="0.00",K130="Missing"),"Review","OK")</f>
        <v>OK</v>
      </c>
    </row>
    <row r="131" spans="1:17" x14ac:dyDescent="0.3">
      <c r="A131">
        <v>1058</v>
      </c>
      <c r="B131" t="s">
        <v>442</v>
      </c>
      <c r="C131">
        <v>83</v>
      </c>
      <c r="D131" t="s">
        <v>11</v>
      </c>
      <c r="E131" s="3" t="s">
        <v>443</v>
      </c>
      <c r="F131" s="3">
        <v>45768</v>
      </c>
      <c r="G131" t="s">
        <v>444</v>
      </c>
      <c r="H131" t="s">
        <v>25</v>
      </c>
      <c r="I131" t="s">
        <v>445</v>
      </c>
      <c r="J131" t="s">
        <v>39</v>
      </c>
      <c r="K131" t="str">
        <f t="shared" si="12"/>
        <v>Timothy Osborne</v>
      </c>
      <c r="L131" t="str">
        <f t="shared" si="13"/>
        <v>Female</v>
      </c>
      <c r="M131" t="str">
        <f t="shared" si="14"/>
        <v>Christopher Ferguson</v>
      </c>
      <c r="N131" s="4" t="str">
        <f t="shared" si="15"/>
        <v>Neurology</v>
      </c>
      <c r="O131" s="6">
        <f t="shared" si="16"/>
        <v>215.46</v>
      </c>
      <c r="P131" s="4" t="str">
        <f t="shared" si="17"/>
        <v>Yes</v>
      </c>
      <c r="Q131" s="4" t="str">
        <f>IF(OR(A131="",C131="",L131="Missing",M131="Missing",O131="0.00",K131="Missing"),"Review","OK")</f>
        <v>OK</v>
      </c>
    </row>
    <row r="132" spans="1:17" x14ac:dyDescent="0.3">
      <c r="A132">
        <v>1074</v>
      </c>
      <c r="B132" t="s">
        <v>446</v>
      </c>
      <c r="C132">
        <v>19</v>
      </c>
      <c r="D132" t="s">
        <v>16</v>
      </c>
      <c r="E132" s="3">
        <v>45771</v>
      </c>
      <c r="F132" s="3">
        <v>45573</v>
      </c>
      <c r="G132" t="s">
        <v>447</v>
      </c>
      <c r="H132" t="s">
        <v>25</v>
      </c>
      <c r="I132" t="s">
        <v>448</v>
      </c>
      <c r="J132">
        <v>0</v>
      </c>
      <c r="K132" t="str">
        <f t="shared" si="12"/>
        <v>Kelsey Collins</v>
      </c>
      <c r="L132" t="str">
        <f t="shared" si="13"/>
        <v>Female</v>
      </c>
      <c r="M132" t="str">
        <f t="shared" si="14"/>
        <v>Gabrielle Collins</v>
      </c>
      <c r="N132" s="4" t="str">
        <f t="shared" si="15"/>
        <v>Neurology</v>
      </c>
      <c r="O132" s="6">
        <f t="shared" si="16"/>
        <v>455.75</v>
      </c>
      <c r="P132" s="4" t="str">
        <f t="shared" si="17"/>
        <v>No</v>
      </c>
      <c r="Q132" s="4" t="str">
        <f>IF(OR(A132="",C132="",L132="Missing",M132="Missing",O132="0.00",K132="Missing"),"Review","OK")</f>
        <v>OK</v>
      </c>
    </row>
    <row r="133" spans="1:17" x14ac:dyDescent="0.3">
      <c r="A133">
        <v>1018</v>
      </c>
      <c r="B133" t="s">
        <v>449</v>
      </c>
      <c r="C133">
        <v>54</v>
      </c>
      <c r="D133" t="s">
        <v>16</v>
      </c>
      <c r="E133" s="3">
        <v>46106</v>
      </c>
      <c r="F133" s="3">
        <v>45421</v>
      </c>
      <c r="G133" t="s">
        <v>450</v>
      </c>
      <c r="H133" t="s">
        <v>29</v>
      </c>
      <c r="I133" t="s">
        <v>451</v>
      </c>
      <c r="J133">
        <v>1</v>
      </c>
      <c r="K133" t="str">
        <f t="shared" si="12"/>
        <v>David Kramer</v>
      </c>
      <c r="L133" t="str">
        <f t="shared" si="13"/>
        <v>Female</v>
      </c>
      <c r="M133" t="str">
        <f t="shared" si="14"/>
        <v>Anne Watkins</v>
      </c>
      <c r="N133" s="4" t="str">
        <f t="shared" si="15"/>
        <v>General</v>
      </c>
      <c r="O133" s="6">
        <f t="shared" si="16"/>
        <v>325.97000000000003</v>
      </c>
      <c r="P133" s="4" t="str">
        <f t="shared" si="17"/>
        <v>Yes</v>
      </c>
      <c r="Q133" s="4" t="str">
        <f>IF(OR(A133="",C133="",L133="Missing",M133="Missing",O133="0.00",K133="Missing"),"Review","OK")</f>
        <v>OK</v>
      </c>
    </row>
    <row r="134" spans="1:17" x14ac:dyDescent="0.3">
      <c r="A134">
        <v>1033</v>
      </c>
      <c r="B134" t="s">
        <v>452</v>
      </c>
      <c r="C134">
        <v>68</v>
      </c>
      <c r="D134" t="s">
        <v>56</v>
      </c>
      <c r="E134" s="3">
        <v>45958</v>
      </c>
      <c r="F134" s="3">
        <v>45581</v>
      </c>
      <c r="G134" t="s">
        <v>246</v>
      </c>
      <c r="H134" t="s">
        <v>29</v>
      </c>
      <c r="I134" t="s">
        <v>453</v>
      </c>
      <c r="J134" t="s">
        <v>39</v>
      </c>
      <c r="K134" t="str">
        <f t="shared" si="12"/>
        <v>Patricia King</v>
      </c>
      <c r="L134" t="str">
        <f t="shared" si="13"/>
        <v>Male</v>
      </c>
      <c r="M134" t="str">
        <f t="shared" si="14"/>
        <v>Jennifer Adams</v>
      </c>
      <c r="N134" s="4" t="str">
        <f t="shared" si="15"/>
        <v>General</v>
      </c>
      <c r="O134" s="6">
        <f t="shared" si="16"/>
        <v>468.06</v>
      </c>
      <c r="P134" s="4" t="str">
        <f t="shared" si="17"/>
        <v>Yes</v>
      </c>
      <c r="Q134" s="4" t="str">
        <f>IF(OR(A134="",C134="",L134="Missing",M134="Missing",O134="0.00",K134="Missing"),"Review","OK")</f>
        <v>OK</v>
      </c>
    </row>
    <row r="135" spans="1:17" x14ac:dyDescent="0.3">
      <c r="A135">
        <v>1045</v>
      </c>
      <c r="B135" t="s">
        <v>454</v>
      </c>
      <c r="C135">
        <v>55</v>
      </c>
      <c r="D135" t="s">
        <v>41</v>
      </c>
      <c r="E135" s="3">
        <v>46024</v>
      </c>
      <c r="F135" s="3">
        <v>45600</v>
      </c>
      <c r="G135" t="s">
        <v>455</v>
      </c>
      <c r="H135" t="s">
        <v>29</v>
      </c>
      <c r="I135" t="s">
        <v>456</v>
      </c>
      <c r="J135" t="s">
        <v>39</v>
      </c>
      <c r="K135" t="str">
        <f t="shared" si="12"/>
        <v>Sheri Kline</v>
      </c>
      <c r="L135" t="str">
        <f t="shared" si="13"/>
        <v>Female</v>
      </c>
      <c r="M135" t="str">
        <f t="shared" si="14"/>
        <v>Jennifer Russell</v>
      </c>
      <c r="N135" s="4" t="str">
        <f t="shared" si="15"/>
        <v>General</v>
      </c>
      <c r="O135" s="6">
        <f t="shared" si="16"/>
        <v>377.14</v>
      </c>
      <c r="P135" s="4" t="str">
        <f t="shared" si="17"/>
        <v>Yes</v>
      </c>
      <c r="Q135" s="4" t="str">
        <f>IF(OR(A135="",C135="",L135="Missing",M135="Missing",O135="0.00",K135="Missing"),"Review","OK")</f>
        <v>OK</v>
      </c>
    </row>
    <row r="136" spans="1:17" x14ac:dyDescent="0.3">
      <c r="A136">
        <v>1087</v>
      </c>
      <c r="B136" t="s">
        <v>457</v>
      </c>
      <c r="C136">
        <v>80</v>
      </c>
      <c r="D136">
        <v>1</v>
      </c>
      <c r="E136" s="3">
        <v>46029</v>
      </c>
      <c r="F136" s="3">
        <v>45438</v>
      </c>
      <c r="G136" t="s">
        <v>458</v>
      </c>
      <c r="H136" t="s">
        <v>25</v>
      </c>
      <c r="I136" t="s">
        <v>459</v>
      </c>
      <c r="J136" t="s">
        <v>31</v>
      </c>
      <c r="K136" t="str">
        <f t="shared" si="12"/>
        <v>Troy White</v>
      </c>
      <c r="L136" t="str">
        <f t="shared" si="13"/>
        <v>Female</v>
      </c>
      <c r="M136" t="str">
        <f t="shared" si="14"/>
        <v>Cindy Cox</v>
      </c>
      <c r="N136" s="4" t="str">
        <f t="shared" si="15"/>
        <v>Neurology</v>
      </c>
      <c r="O136" s="6">
        <f t="shared" si="16"/>
        <v>87.2</v>
      </c>
      <c r="P136" s="4" t="str">
        <f t="shared" si="17"/>
        <v>No</v>
      </c>
      <c r="Q136" s="4" t="str">
        <f>IF(OR(A136="",C136="",L136="Missing",M136="Missing",O136="0.00",K136="Missing"),"Review","OK")</f>
        <v>OK</v>
      </c>
    </row>
    <row r="137" spans="1:17" x14ac:dyDescent="0.3">
      <c r="A137">
        <v>1043</v>
      </c>
      <c r="B137" t="s">
        <v>460</v>
      </c>
      <c r="C137">
        <v>58</v>
      </c>
      <c r="D137">
        <v>1</v>
      </c>
      <c r="E137" s="3">
        <v>45967</v>
      </c>
      <c r="F137" s="3">
        <v>45792</v>
      </c>
      <c r="G137" t="s">
        <v>461</v>
      </c>
      <c r="H137" t="s">
        <v>13</v>
      </c>
      <c r="I137" t="s">
        <v>462</v>
      </c>
      <c r="J137">
        <v>0</v>
      </c>
      <c r="K137" t="str">
        <f t="shared" si="12"/>
        <v>David Young</v>
      </c>
      <c r="L137" t="str">
        <f t="shared" si="13"/>
        <v>Female</v>
      </c>
      <c r="M137" t="str">
        <f t="shared" si="14"/>
        <v>Amy Williams</v>
      </c>
      <c r="N137" s="4" t="str">
        <f t="shared" si="15"/>
        <v>Cardiology</v>
      </c>
      <c r="O137" s="6">
        <f t="shared" si="16"/>
        <v>226.97</v>
      </c>
      <c r="P137" s="4" t="str">
        <f t="shared" si="17"/>
        <v>No</v>
      </c>
      <c r="Q137" s="4" t="str">
        <f>IF(OR(A137="",C137="",L137="Missing",M137="Missing",O137="0.00",K137="Missing"),"Review","OK")</f>
        <v>OK</v>
      </c>
    </row>
    <row r="138" spans="1:17" x14ac:dyDescent="0.3">
      <c r="A138">
        <v>1020</v>
      </c>
      <c r="B138" t="s">
        <v>463</v>
      </c>
      <c r="C138">
        <v>31</v>
      </c>
      <c r="D138">
        <v>1</v>
      </c>
      <c r="E138" s="3" t="s">
        <v>464</v>
      </c>
      <c r="F138" s="3">
        <v>45600</v>
      </c>
      <c r="G138" t="s">
        <v>465</v>
      </c>
      <c r="H138" t="s">
        <v>25</v>
      </c>
      <c r="I138" t="s">
        <v>466</v>
      </c>
      <c r="J138" t="s">
        <v>21</v>
      </c>
      <c r="K138" t="str">
        <f t="shared" si="12"/>
        <v>Tim Flowers</v>
      </c>
      <c r="L138" t="str">
        <f t="shared" si="13"/>
        <v>Female</v>
      </c>
      <c r="M138" t="str">
        <f t="shared" si="14"/>
        <v>Kimberly Henson</v>
      </c>
      <c r="N138" s="4" t="str">
        <f t="shared" si="15"/>
        <v>Neurology</v>
      </c>
      <c r="O138" s="6">
        <f t="shared" si="16"/>
        <v>139.81</v>
      </c>
      <c r="P138" s="4" t="str">
        <f t="shared" si="17"/>
        <v>Yes</v>
      </c>
      <c r="Q138" s="4" t="str">
        <f>IF(OR(A138="",C138="",L138="Missing",M138="Missing",O138="0.00",K138="Missing"),"Review","OK")</f>
        <v>OK</v>
      </c>
    </row>
    <row r="139" spans="1:17" x14ac:dyDescent="0.3">
      <c r="A139">
        <v>1089</v>
      </c>
      <c r="B139" t="s">
        <v>467</v>
      </c>
      <c r="C139">
        <v>73</v>
      </c>
      <c r="D139" t="s">
        <v>16</v>
      </c>
      <c r="E139" s="3">
        <v>45662</v>
      </c>
      <c r="F139" s="3">
        <v>45498</v>
      </c>
      <c r="G139" t="s">
        <v>468</v>
      </c>
      <c r="H139" t="s">
        <v>13</v>
      </c>
      <c r="I139" t="s">
        <v>469</v>
      </c>
      <c r="J139" t="s">
        <v>65</v>
      </c>
      <c r="K139" t="str">
        <f t="shared" si="12"/>
        <v>Gregory Garcia</v>
      </c>
      <c r="L139" t="str">
        <f t="shared" si="13"/>
        <v>Female</v>
      </c>
      <c r="M139" t="str">
        <f t="shared" si="14"/>
        <v>Megan Jensen</v>
      </c>
      <c r="N139" s="4" t="str">
        <f t="shared" si="15"/>
        <v>Cardiology</v>
      </c>
      <c r="O139" s="6">
        <f t="shared" si="16"/>
        <v>466.08</v>
      </c>
      <c r="P139" s="4" t="str">
        <f t="shared" si="17"/>
        <v>No</v>
      </c>
      <c r="Q139" s="4" t="str">
        <f>IF(OR(A139="",C139="",L139="Missing",M139="Missing",O139="0.00",K139="Missing"),"Review","OK")</f>
        <v>OK</v>
      </c>
    </row>
    <row r="140" spans="1:17" x14ac:dyDescent="0.3">
      <c r="A140">
        <v>1005</v>
      </c>
      <c r="B140" t="s">
        <v>470</v>
      </c>
      <c r="C140">
        <v>63</v>
      </c>
      <c r="D140">
        <v>1</v>
      </c>
      <c r="E140" s="3">
        <v>45921</v>
      </c>
      <c r="F140" s="3">
        <v>45423</v>
      </c>
      <c r="G140" t="s">
        <v>471</v>
      </c>
      <c r="H140" t="s">
        <v>13</v>
      </c>
      <c r="I140" t="s">
        <v>472</v>
      </c>
      <c r="J140" t="s">
        <v>21</v>
      </c>
      <c r="K140" t="str">
        <f t="shared" si="12"/>
        <v>Max Martinez</v>
      </c>
      <c r="L140" t="str">
        <f t="shared" si="13"/>
        <v>Female</v>
      </c>
      <c r="M140" t="str">
        <f t="shared" si="14"/>
        <v>Joshua Sellers</v>
      </c>
      <c r="N140" s="4" t="str">
        <f t="shared" si="15"/>
        <v>Cardiology</v>
      </c>
      <c r="O140" s="6">
        <f t="shared" si="16"/>
        <v>352.03</v>
      </c>
      <c r="P140" s="4" t="str">
        <f t="shared" si="17"/>
        <v>Yes</v>
      </c>
      <c r="Q140" s="4" t="str">
        <f>IF(OR(A140="",C140="",L140="Missing",M140="Missing",O140="0.00",K140="Missing"),"Review","OK")</f>
        <v>OK</v>
      </c>
    </row>
    <row r="141" spans="1:17" x14ac:dyDescent="0.3">
      <c r="A141">
        <v>1031</v>
      </c>
      <c r="B141" t="s">
        <v>473</v>
      </c>
      <c r="C141">
        <v>49</v>
      </c>
      <c r="D141" t="s">
        <v>11</v>
      </c>
      <c r="E141" s="3">
        <v>46024</v>
      </c>
      <c r="F141" s="3">
        <v>45990</v>
      </c>
      <c r="G141" t="s">
        <v>474</v>
      </c>
      <c r="H141" t="s">
        <v>25</v>
      </c>
      <c r="I141" t="s">
        <v>475</v>
      </c>
      <c r="J141" t="s">
        <v>65</v>
      </c>
      <c r="K141" t="str">
        <f t="shared" si="12"/>
        <v>Paul Hinton</v>
      </c>
      <c r="L141" t="str">
        <f t="shared" si="13"/>
        <v>Female</v>
      </c>
      <c r="M141" t="str">
        <f t="shared" si="14"/>
        <v>Lindsey Fitzpatrick</v>
      </c>
      <c r="N141" s="4" t="str">
        <f t="shared" si="15"/>
        <v>Neurology</v>
      </c>
      <c r="O141" s="6">
        <f t="shared" si="16"/>
        <v>461.19</v>
      </c>
      <c r="P141" s="4" t="str">
        <f t="shared" si="17"/>
        <v>No</v>
      </c>
      <c r="Q141" s="4" t="str">
        <f>IF(OR(A141="",C141="",L141="Missing",M141="Missing",O141="0.00",K141="Missing"),"Review","OK")</f>
        <v>OK</v>
      </c>
    </row>
    <row r="142" spans="1:17" x14ac:dyDescent="0.3">
      <c r="A142">
        <v>1069</v>
      </c>
      <c r="B142" t="s">
        <v>476</v>
      </c>
      <c r="C142">
        <v>60</v>
      </c>
      <c r="D142">
        <v>1</v>
      </c>
      <c r="E142" s="3">
        <v>45903</v>
      </c>
      <c r="F142" s="3">
        <v>45665</v>
      </c>
      <c r="G142" t="s">
        <v>477</v>
      </c>
      <c r="H142" t="s">
        <v>29</v>
      </c>
      <c r="J142" t="s">
        <v>31</v>
      </c>
      <c r="K142" t="str">
        <f t="shared" si="12"/>
        <v>Thomas Landry</v>
      </c>
      <c r="L142" t="str">
        <f t="shared" si="13"/>
        <v>Female</v>
      </c>
      <c r="M142" t="str">
        <f t="shared" si="14"/>
        <v>Brandon Moore</v>
      </c>
      <c r="N142" s="4" t="str">
        <f t="shared" si="15"/>
        <v>General</v>
      </c>
      <c r="O142" s="6" t="str">
        <f t="shared" si="16"/>
        <v>0.00</v>
      </c>
      <c r="P142" s="4" t="str">
        <f t="shared" si="17"/>
        <v>No</v>
      </c>
      <c r="Q142" s="4" t="str">
        <f>IF(OR(A142="",C142="",L142="Missing",M142="Missing",O142="0.00",K142="Missing"),"Review","OK")</f>
        <v>Review</v>
      </c>
    </row>
    <row r="143" spans="1:17" x14ac:dyDescent="0.3">
      <c r="A143">
        <v>1093</v>
      </c>
      <c r="B143" t="s">
        <v>478</v>
      </c>
      <c r="C143">
        <v>77</v>
      </c>
      <c r="D143" t="s">
        <v>41</v>
      </c>
      <c r="E143" s="3">
        <v>46042</v>
      </c>
      <c r="F143" s="3">
        <v>45386</v>
      </c>
      <c r="G143" t="s">
        <v>479</v>
      </c>
      <c r="H143" t="s">
        <v>25</v>
      </c>
      <c r="I143" t="s">
        <v>480</v>
      </c>
      <c r="J143">
        <v>1</v>
      </c>
      <c r="K143" t="str">
        <f t="shared" si="12"/>
        <v>Alexander Le</v>
      </c>
      <c r="L143" t="str">
        <f t="shared" si="13"/>
        <v>Female</v>
      </c>
      <c r="M143" t="str">
        <f t="shared" si="14"/>
        <v>Cynthia Booker</v>
      </c>
      <c r="N143" s="4" t="str">
        <f t="shared" si="15"/>
        <v>Neurology</v>
      </c>
      <c r="O143" s="6">
        <f t="shared" si="16"/>
        <v>252.22</v>
      </c>
      <c r="P143" s="4" t="str">
        <f t="shared" si="17"/>
        <v>Yes</v>
      </c>
      <c r="Q143" s="4" t="str">
        <f>IF(OR(A143="",C143="",L143="Missing",M143="Missing",O143="0.00",K143="Missing"),"Review","OK")</f>
        <v>OK</v>
      </c>
    </row>
    <row r="144" spans="1:17" x14ac:dyDescent="0.3">
      <c r="A144">
        <v>1073</v>
      </c>
      <c r="B144" t="s">
        <v>481</v>
      </c>
      <c r="C144">
        <v>29</v>
      </c>
      <c r="D144" t="s">
        <v>76</v>
      </c>
      <c r="E144" s="3">
        <v>45865</v>
      </c>
      <c r="F144" s="3">
        <v>45816</v>
      </c>
      <c r="G144" t="s">
        <v>482</v>
      </c>
      <c r="H144" t="s">
        <v>29</v>
      </c>
      <c r="I144" t="s">
        <v>483</v>
      </c>
      <c r="J144" t="s">
        <v>21</v>
      </c>
      <c r="K144" t="str">
        <f t="shared" si="12"/>
        <v>Joseph Irwin</v>
      </c>
      <c r="L144" t="str">
        <f t="shared" si="13"/>
        <v>Male</v>
      </c>
      <c r="M144" t="str">
        <f t="shared" si="14"/>
        <v>Jacob Kerr</v>
      </c>
      <c r="N144" s="4" t="str">
        <f t="shared" si="15"/>
        <v>General</v>
      </c>
      <c r="O144" s="6">
        <f t="shared" si="16"/>
        <v>206.74</v>
      </c>
      <c r="P144" s="4" t="str">
        <f t="shared" si="17"/>
        <v>Yes</v>
      </c>
      <c r="Q144" s="4" t="str">
        <f>IF(OR(A144="",C144="",L144="Missing",M144="Missing",O144="0.00",K144="Missing"),"Review","OK")</f>
        <v>OK</v>
      </c>
    </row>
    <row r="145" spans="1:17" x14ac:dyDescent="0.3">
      <c r="A145">
        <v>1040</v>
      </c>
      <c r="B145" t="s">
        <v>484</v>
      </c>
      <c r="C145">
        <v>52</v>
      </c>
      <c r="D145" t="s">
        <v>76</v>
      </c>
      <c r="E145" s="3">
        <v>45795</v>
      </c>
      <c r="F145" s="3" t="s">
        <v>485</v>
      </c>
      <c r="G145" t="s">
        <v>486</v>
      </c>
      <c r="H145" t="s">
        <v>13</v>
      </c>
      <c r="I145" t="s">
        <v>487</v>
      </c>
      <c r="J145" t="s">
        <v>65</v>
      </c>
      <c r="K145" t="str">
        <f t="shared" si="12"/>
        <v>Corey Smith</v>
      </c>
      <c r="L145" t="str">
        <f t="shared" si="13"/>
        <v>Male</v>
      </c>
      <c r="M145" t="str">
        <f t="shared" si="14"/>
        <v>Luke Williams</v>
      </c>
      <c r="N145" s="4" t="str">
        <f t="shared" si="15"/>
        <v>Cardiology</v>
      </c>
      <c r="O145" s="6">
        <f t="shared" si="16"/>
        <v>130.69999999999999</v>
      </c>
      <c r="P145" s="4" t="str">
        <f t="shared" si="17"/>
        <v>No</v>
      </c>
      <c r="Q145" s="4" t="str">
        <f>IF(OR(A145="",C145="",L145="Missing",M145="Missing",O145="0.00",K145="Missing"),"Review","OK")</f>
        <v>OK</v>
      </c>
    </row>
    <row r="146" spans="1:17" x14ac:dyDescent="0.3">
      <c r="A146">
        <v>1066</v>
      </c>
      <c r="B146" t="s">
        <v>488</v>
      </c>
      <c r="C146">
        <v>54</v>
      </c>
      <c r="D146" t="s">
        <v>76</v>
      </c>
      <c r="E146" s="3">
        <v>45881</v>
      </c>
      <c r="F146" s="3">
        <v>45863</v>
      </c>
      <c r="G146" t="s">
        <v>489</v>
      </c>
      <c r="H146" t="s">
        <v>29</v>
      </c>
      <c r="I146" t="s">
        <v>490</v>
      </c>
      <c r="J146">
        <v>1</v>
      </c>
      <c r="K146" t="str">
        <f t="shared" si="12"/>
        <v>Brandon Baker</v>
      </c>
      <c r="L146" t="str">
        <f t="shared" si="13"/>
        <v>Male</v>
      </c>
      <c r="M146" t="str">
        <f t="shared" si="14"/>
        <v>Alison Walters</v>
      </c>
      <c r="N146" s="4" t="str">
        <f t="shared" si="15"/>
        <v>General</v>
      </c>
      <c r="O146" s="6">
        <f t="shared" si="16"/>
        <v>106.33</v>
      </c>
      <c r="P146" s="4" t="str">
        <f t="shared" si="17"/>
        <v>Yes</v>
      </c>
      <c r="Q146" s="4" t="str">
        <f>IF(OR(A146="",C146="",L146="Missing",M146="Missing",O146="0.00",K146="Missing"),"Review","OK")</f>
        <v>OK</v>
      </c>
    </row>
    <row r="147" spans="1:17" x14ac:dyDescent="0.3">
      <c r="A147">
        <v>1047</v>
      </c>
      <c r="B147" t="s">
        <v>491</v>
      </c>
      <c r="C147">
        <v>67</v>
      </c>
      <c r="D147">
        <v>0</v>
      </c>
      <c r="E147" s="3">
        <v>46063</v>
      </c>
      <c r="F147" s="3" t="s">
        <v>492</v>
      </c>
      <c r="G147" t="s">
        <v>493</v>
      </c>
      <c r="H147" t="s">
        <v>19</v>
      </c>
      <c r="J147" t="s">
        <v>65</v>
      </c>
      <c r="K147" t="str">
        <f t="shared" si="12"/>
        <v>John Campbell</v>
      </c>
      <c r="L147" t="str">
        <f t="shared" si="13"/>
        <v>Male</v>
      </c>
      <c r="M147" t="str">
        <f t="shared" si="14"/>
        <v>Tanya Baxter</v>
      </c>
      <c r="N147" s="4" t="str">
        <f t="shared" si="15"/>
        <v>Orthopedics</v>
      </c>
      <c r="O147" s="6" t="str">
        <f t="shared" si="16"/>
        <v>0.00</v>
      </c>
      <c r="P147" s="4" t="str">
        <f t="shared" si="17"/>
        <v>No</v>
      </c>
      <c r="Q147" s="4" t="str">
        <f>IF(OR(A147="",C147="",L147="Missing",M147="Missing",O147="0.00",K147="Missing"),"Review","OK")</f>
        <v>Review</v>
      </c>
    </row>
    <row r="148" spans="1:17" x14ac:dyDescent="0.3">
      <c r="A148">
        <v>1021</v>
      </c>
      <c r="B148" t="s">
        <v>494</v>
      </c>
      <c r="C148">
        <v>38</v>
      </c>
      <c r="D148" t="s">
        <v>41</v>
      </c>
      <c r="E148" s="3">
        <v>45962</v>
      </c>
      <c r="F148" s="3">
        <v>45437</v>
      </c>
      <c r="G148" t="s">
        <v>495</v>
      </c>
      <c r="H148" t="s">
        <v>25</v>
      </c>
      <c r="I148" t="s">
        <v>496</v>
      </c>
      <c r="J148" t="s">
        <v>39</v>
      </c>
      <c r="K148" t="str">
        <f t="shared" si="12"/>
        <v>Craig Hunt</v>
      </c>
      <c r="L148" t="str">
        <f t="shared" si="13"/>
        <v>Female</v>
      </c>
      <c r="M148" t="str">
        <f t="shared" si="14"/>
        <v>Cynthia Brown</v>
      </c>
      <c r="N148" s="4" t="str">
        <f t="shared" si="15"/>
        <v>Neurology</v>
      </c>
      <c r="O148" s="6">
        <f t="shared" si="16"/>
        <v>122.56</v>
      </c>
      <c r="P148" s="4" t="str">
        <f t="shared" si="17"/>
        <v>Yes</v>
      </c>
      <c r="Q148" s="4" t="str">
        <f>IF(OR(A148="",C148="",L148="Missing",M148="Missing",O148="0.00",K148="Missing"),"Review","OK")</f>
        <v>OK</v>
      </c>
    </row>
    <row r="149" spans="1:17" x14ac:dyDescent="0.3">
      <c r="A149">
        <v>1072</v>
      </c>
      <c r="B149" t="s">
        <v>497</v>
      </c>
      <c r="C149">
        <v>37</v>
      </c>
      <c r="D149" t="s">
        <v>56</v>
      </c>
      <c r="E149" s="3">
        <v>45883</v>
      </c>
      <c r="F149" s="3">
        <v>45880</v>
      </c>
      <c r="G149" t="s">
        <v>498</v>
      </c>
      <c r="H149" t="s">
        <v>13</v>
      </c>
      <c r="I149" t="s">
        <v>499</v>
      </c>
      <c r="J149">
        <v>0</v>
      </c>
      <c r="K149" t="str">
        <f t="shared" si="12"/>
        <v>Lisa Cameron</v>
      </c>
      <c r="L149" t="str">
        <f t="shared" si="13"/>
        <v>Male</v>
      </c>
      <c r="M149" t="str">
        <f t="shared" si="14"/>
        <v>Karen Hunt</v>
      </c>
      <c r="N149" s="4" t="str">
        <f t="shared" si="15"/>
        <v>Cardiology</v>
      </c>
      <c r="O149" s="6">
        <f t="shared" si="16"/>
        <v>238.81</v>
      </c>
      <c r="P149" s="4" t="str">
        <f t="shared" si="17"/>
        <v>No</v>
      </c>
      <c r="Q149" s="4" t="str">
        <f>IF(OR(A149="",C149="",L149="Missing",M149="Missing",O149="0.00",K149="Missing"),"Review","OK")</f>
        <v>OK</v>
      </c>
    </row>
    <row r="150" spans="1:17" x14ac:dyDescent="0.3">
      <c r="A150">
        <v>1011</v>
      </c>
      <c r="B150" t="s">
        <v>500</v>
      </c>
      <c r="C150">
        <v>66</v>
      </c>
      <c r="D150" t="s">
        <v>76</v>
      </c>
      <c r="E150" s="3">
        <v>45776</v>
      </c>
      <c r="F150" s="3">
        <v>45754</v>
      </c>
      <c r="G150" t="s">
        <v>501</v>
      </c>
      <c r="H150" t="s">
        <v>29</v>
      </c>
      <c r="I150" t="s">
        <v>502</v>
      </c>
      <c r="J150">
        <v>1</v>
      </c>
      <c r="K150" t="str">
        <f t="shared" si="12"/>
        <v>Nathaniel Wood</v>
      </c>
      <c r="L150" t="str">
        <f t="shared" si="13"/>
        <v>Male</v>
      </c>
      <c r="M150" t="str">
        <f t="shared" si="14"/>
        <v>Alec Hill</v>
      </c>
      <c r="N150" s="4" t="str">
        <f t="shared" si="15"/>
        <v>General</v>
      </c>
      <c r="O150" s="6">
        <f t="shared" si="16"/>
        <v>413.21</v>
      </c>
      <c r="P150" s="4" t="str">
        <f t="shared" si="17"/>
        <v>Yes</v>
      </c>
      <c r="Q150" s="4" t="str">
        <f>IF(OR(A150="",C150="",L150="Missing",M150="Missing",O150="0.00",K150="Missing"),"Review","OK")</f>
        <v>OK</v>
      </c>
    </row>
    <row r="151" spans="1:17" x14ac:dyDescent="0.3">
      <c r="A151">
        <v>1097</v>
      </c>
      <c r="B151" t="s">
        <v>503</v>
      </c>
      <c r="C151">
        <v>48</v>
      </c>
      <c r="D151">
        <v>0</v>
      </c>
      <c r="E151" s="3">
        <v>45914</v>
      </c>
      <c r="F151" s="3">
        <v>45624</v>
      </c>
      <c r="G151" t="s">
        <v>504</v>
      </c>
      <c r="H151" t="s">
        <v>13</v>
      </c>
      <c r="I151" t="s">
        <v>505</v>
      </c>
      <c r="J151" t="s">
        <v>65</v>
      </c>
      <c r="K151" t="str">
        <f t="shared" si="12"/>
        <v>Dr. Lindsey Arias Dds</v>
      </c>
      <c r="L151" t="str">
        <f t="shared" si="13"/>
        <v>Male</v>
      </c>
      <c r="M151" t="str">
        <f t="shared" si="14"/>
        <v>Colton Williams</v>
      </c>
      <c r="N151" s="4" t="str">
        <f t="shared" si="15"/>
        <v>Cardiology</v>
      </c>
      <c r="O151" s="6">
        <f t="shared" si="16"/>
        <v>91.87</v>
      </c>
      <c r="P151" s="4" t="str">
        <f t="shared" si="17"/>
        <v>No</v>
      </c>
      <c r="Q151" s="4" t="str">
        <f>IF(OR(A151="",C151="",L151="Missing",M151="Missing",O151="0.00",K151="Missing"),"Review","OK")</f>
        <v>OK</v>
      </c>
    </row>
    <row r="152" spans="1:17" x14ac:dyDescent="0.3">
      <c r="A152">
        <v>1028</v>
      </c>
      <c r="B152" t="s">
        <v>506</v>
      </c>
      <c r="C152">
        <v>56</v>
      </c>
      <c r="D152" t="s">
        <v>56</v>
      </c>
      <c r="E152" s="3">
        <v>45960</v>
      </c>
      <c r="F152" s="3" t="s">
        <v>354</v>
      </c>
      <c r="G152" t="s">
        <v>507</v>
      </c>
      <c r="H152" t="s">
        <v>19</v>
      </c>
      <c r="I152" t="s">
        <v>508</v>
      </c>
      <c r="J152" t="s">
        <v>65</v>
      </c>
      <c r="K152" t="str">
        <f t="shared" si="12"/>
        <v>Timothy Matthews</v>
      </c>
      <c r="L152" t="str">
        <f t="shared" si="13"/>
        <v>Male</v>
      </c>
      <c r="M152" t="str">
        <f t="shared" si="14"/>
        <v>Brandy Sutton</v>
      </c>
      <c r="N152" s="4" t="str">
        <f t="shared" si="15"/>
        <v>Orthopedics</v>
      </c>
      <c r="O152" s="6">
        <f t="shared" si="16"/>
        <v>485.5</v>
      </c>
      <c r="P152" s="4" t="str">
        <f t="shared" si="17"/>
        <v>No</v>
      </c>
      <c r="Q152" s="4" t="str">
        <f>IF(OR(A152="",C152="",L152="Missing",M152="Missing",O152="0.00",K152="Missing"),"Review","OK")</f>
        <v>OK</v>
      </c>
    </row>
    <row r="153" spans="1:17" x14ac:dyDescent="0.3">
      <c r="A153">
        <v>1057</v>
      </c>
      <c r="B153" t="s">
        <v>509</v>
      </c>
      <c r="C153">
        <v>32</v>
      </c>
      <c r="D153" t="s">
        <v>76</v>
      </c>
      <c r="E153" s="3">
        <v>45746</v>
      </c>
      <c r="F153" s="3">
        <v>45356</v>
      </c>
      <c r="G153" t="s">
        <v>510</v>
      </c>
      <c r="H153" t="s">
        <v>29</v>
      </c>
      <c r="I153" t="s">
        <v>511</v>
      </c>
      <c r="J153">
        <v>1</v>
      </c>
      <c r="K153" t="str">
        <f t="shared" si="12"/>
        <v>Katelyn Byrd</v>
      </c>
      <c r="L153" t="str">
        <f t="shared" si="13"/>
        <v>Male</v>
      </c>
      <c r="M153" t="str">
        <f t="shared" si="14"/>
        <v>Barbara Chavez</v>
      </c>
      <c r="N153" s="4" t="str">
        <f t="shared" si="15"/>
        <v>General</v>
      </c>
      <c r="O153" s="6">
        <f t="shared" si="16"/>
        <v>209.81</v>
      </c>
      <c r="P153" s="4" t="str">
        <f t="shared" si="17"/>
        <v>Yes</v>
      </c>
      <c r="Q153" s="4" t="str">
        <f>IF(OR(A153="",C153="",L153="Missing",M153="Missing",O153="0.00",K153="Missing"),"Review","OK")</f>
        <v>OK</v>
      </c>
    </row>
    <row r="154" spans="1:17" x14ac:dyDescent="0.3">
      <c r="A154">
        <v>1002</v>
      </c>
      <c r="B154" t="s">
        <v>512</v>
      </c>
      <c r="C154">
        <v>87</v>
      </c>
      <c r="D154" t="s">
        <v>23</v>
      </c>
      <c r="E154" s="3">
        <v>45755</v>
      </c>
      <c r="F154" s="3">
        <v>45630</v>
      </c>
      <c r="G154" t="s">
        <v>513</v>
      </c>
      <c r="H154" t="s">
        <v>13</v>
      </c>
      <c r="I154" t="s">
        <v>514</v>
      </c>
      <c r="J154" t="s">
        <v>39</v>
      </c>
      <c r="K154" t="str">
        <f t="shared" si="12"/>
        <v>Jeffrey Bates</v>
      </c>
      <c r="L154" t="str">
        <f t="shared" si="13"/>
        <v>Male</v>
      </c>
      <c r="M154" t="str">
        <f t="shared" si="14"/>
        <v>Lisa Ho</v>
      </c>
      <c r="N154" s="4" t="str">
        <f t="shared" si="15"/>
        <v>Cardiology</v>
      </c>
      <c r="O154" s="6">
        <f t="shared" si="16"/>
        <v>401.55</v>
      </c>
      <c r="P154" s="4" t="str">
        <f t="shared" si="17"/>
        <v>Yes</v>
      </c>
      <c r="Q154" s="4" t="str">
        <f>IF(OR(A154="",C154="",L154="Missing",M154="Missing",O154="0.00",K154="Missing"),"Review","OK")</f>
        <v>OK</v>
      </c>
    </row>
    <row r="155" spans="1:17" x14ac:dyDescent="0.3">
      <c r="A155">
        <v>1065</v>
      </c>
      <c r="B155" t="s">
        <v>515</v>
      </c>
      <c r="C155">
        <v>18</v>
      </c>
      <c r="D155">
        <v>0</v>
      </c>
      <c r="E155" s="3">
        <v>45955</v>
      </c>
      <c r="F155" s="3">
        <v>45360</v>
      </c>
      <c r="G155" t="s">
        <v>516</v>
      </c>
      <c r="H155" t="s">
        <v>25</v>
      </c>
      <c r="I155" t="s">
        <v>517</v>
      </c>
      <c r="J155">
        <v>0</v>
      </c>
      <c r="K155" t="str">
        <f t="shared" si="12"/>
        <v>Kevin Johnson</v>
      </c>
      <c r="L155" t="str">
        <f t="shared" si="13"/>
        <v>Male</v>
      </c>
      <c r="M155" t="str">
        <f t="shared" si="14"/>
        <v>Lance Smith</v>
      </c>
      <c r="N155" s="4" t="str">
        <f t="shared" si="15"/>
        <v>Neurology</v>
      </c>
      <c r="O155" s="6">
        <f t="shared" si="16"/>
        <v>283.3</v>
      </c>
      <c r="P155" s="4" t="str">
        <f t="shared" si="17"/>
        <v>No</v>
      </c>
      <c r="Q155" s="4" t="str">
        <f>IF(OR(A155="",C155="",L155="Missing",M155="Missing",O155="0.00",K155="Missing"),"Review","OK")</f>
        <v>OK</v>
      </c>
    </row>
    <row r="156" spans="1:17" x14ac:dyDescent="0.3">
      <c r="A156">
        <v>1026</v>
      </c>
      <c r="B156" t="s">
        <v>518</v>
      </c>
      <c r="C156">
        <v>87</v>
      </c>
      <c r="D156">
        <v>1</v>
      </c>
      <c r="E156" s="3">
        <v>46056</v>
      </c>
      <c r="F156" s="3">
        <v>45998</v>
      </c>
      <c r="G156" t="s">
        <v>519</v>
      </c>
      <c r="H156" t="s">
        <v>25</v>
      </c>
      <c r="I156" t="s">
        <v>520</v>
      </c>
      <c r="J156" t="s">
        <v>21</v>
      </c>
      <c r="K156" t="str">
        <f t="shared" si="12"/>
        <v>Kelly Mcknight</v>
      </c>
      <c r="L156" t="str">
        <f t="shared" si="13"/>
        <v>Female</v>
      </c>
      <c r="M156" t="str">
        <f t="shared" si="14"/>
        <v>Jerry Lopez</v>
      </c>
      <c r="N156" s="4" t="str">
        <f t="shared" si="15"/>
        <v>Neurology</v>
      </c>
      <c r="O156" s="6">
        <f t="shared" si="16"/>
        <v>146.19999999999999</v>
      </c>
      <c r="P156" s="4" t="str">
        <f t="shared" si="17"/>
        <v>Yes</v>
      </c>
      <c r="Q156" s="4" t="str">
        <f>IF(OR(A156="",C156="",L156="Missing",M156="Missing",O156="0.00",K156="Missing"),"Review","OK")</f>
        <v>OK</v>
      </c>
    </row>
    <row r="157" spans="1:17" x14ac:dyDescent="0.3">
      <c r="A157">
        <v>1100</v>
      </c>
      <c r="B157" t="s">
        <v>521</v>
      </c>
      <c r="C157">
        <v>62</v>
      </c>
      <c r="D157">
        <v>0</v>
      </c>
      <c r="E157" s="3">
        <v>45750</v>
      </c>
      <c r="F157" s="3" t="s">
        <v>522</v>
      </c>
      <c r="G157" t="s">
        <v>523</v>
      </c>
      <c r="H157" t="s">
        <v>19</v>
      </c>
      <c r="I157" t="s">
        <v>524</v>
      </c>
      <c r="J157" t="s">
        <v>21</v>
      </c>
      <c r="K157" t="str">
        <f t="shared" si="12"/>
        <v>Jamie Wright</v>
      </c>
      <c r="L157" t="str">
        <f t="shared" si="13"/>
        <v>Male</v>
      </c>
      <c r="M157" t="str">
        <f t="shared" si="14"/>
        <v>Lori Hall</v>
      </c>
      <c r="N157" s="4" t="str">
        <f t="shared" si="15"/>
        <v>Orthopedics</v>
      </c>
      <c r="O157" s="6">
        <f t="shared" si="16"/>
        <v>211.18</v>
      </c>
      <c r="P157" s="4" t="str">
        <f t="shared" si="17"/>
        <v>Yes</v>
      </c>
      <c r="Q157" s="4" t="str">
        <f>IF(OR(A157="",C157="",L157="Missing",M157="Missing",O157="0.00",K157="Missing"),"Review","OK")</f>
        <v>OK</v>
      </c>
    </row>
    <row r="158" spans="1:17" x14ac:dyDescent="0.3">
      <c r="A158">
        <v>1066</v>
      </c>
      <c r="B158" t="s">
        <v>525</v>
      </c>
      <c r="C158">
        <v>86</v>
      </c>
      <c r="D158" t="s">
        <v>16</v>
      </c>
      <c r="E158" s="3">
        <v>46071</v>
      </c>
      <c r="F158" s="3">
        <v>45577</v>
      </c>
      <c r="G158" t="s">
        <v>526</v>
      </c>
      <c r="H158" t="s">
        <v>13</v>
      </c>
      <c r="I158" t="s">
        <v>527</v>
      </c>
      <c r="J158">
        <v>1</v>
      </c>
      <c r="K158" t="str">
        <f t="shared" si="12"/>
        <v>Kimberly Conner</v>
      </c>
      <c r="L158" t="str">
        <f t="shared" si="13"/>
        <v>Female</v>
      </c>
      <c r="M158" t="str">
        <f t="shared" si="14"/>
        <v>Steven Holland</v>
      </c>
      <c r="N158" s="4" t="str">
        <f t="shared" si="15"/>
        <v>Cardiology</v>
      </c>
      <c r="O158" s="6">
        <f t="shared" si="16"/>
        <v>476.99</v>
      </c>
      <c r="P158" s="4" t="str">
        <f t="shared" si="17"/>
        <v>Yes</v>
      </c>
      <c r="Q158" s="4" t="str">
        <f>IF(OR(A158="",C158="",L158="Missing",M158="Missing",O158="0.00",K158="Missing"),"Review","OK")</f>
        <v>OK</v>
      </c>
    </row>
    <row r="159" spans="1:17" x14ac:dyDescent="0.3">
      <c r="A159">
        <v>1025</v>
      </c>
      <c r="B159" t="s">
        <v>528</v>
      </c>
      <c r="C159">
        <v>25</v>
      </c>
      <c r="D159" t="s">
        <v>56</v>
      </c>
      <c r="E159" s="3">
        <v>45938</v>
      </c>
      <c r="F159" s="3">
        <v>45740</v>
      </c>
      <c r="G159" t="s">
        <v>529</v>
      </c>
      <c r="H159" t="s">
        <v>19</v>
      </c>
      <c r="I159" t="s">
        <v>530</v>
      </c>
      <c r="J159">
        <v>0</v>
      </c>
      <c r="K159" t="str">
        <f t="shared" si="12"/>
        <v>Kelli Page</v>
      </c>
      <c r="L159" t="str">
        <f t="shared" si="13"/>
        <v>Male</v>
      </c>
      <c r="M159" t="str">
        <f t="shared" si="14"/>
        <v>Stephanie Wall</v>
      </c>
      <c r="N159" s="4" t="str">
        <f t="shared" si="15"/>
        <v>Orthopedics</v>
      </c>
      <c r="O159" s="6">
        <f t="shared" si="16"/>
        <v>248.33</v>
      </c>
      <c r="P159" s="4" t="str">
        <f t="shared" si="17"/>
        <v>No</v>
      </c>
      <c r="Q159" s="4" t="str">
        <f>IF(OR(A159="",C159="",L159="Missing",M159="Missing",O159="0.00",K159="Missing"),"Review","OK")</f>
        <v>OK</v>
      </c>
    </row>
    <row r="160" spans="1:17" x14ac:dyDescent="0.3">
      <c r="A160">
        <v>1038</v>
      </c>
      <c r="B160" t="s">
        <v>531</v>
      </c>
      <c r="C160">
        <v>46</v>
      </c>
      <c r="D160" t="s">
        <v>41</v>
      </c>
      <c r="E160" s="3">
        <v>45904</v>
      </c>
      <c r="F160" s="3">
        <v>45785</v>
      </c>
      <c r="G160" t="s">
        <v>532</v>
      </c>
      <c r="H160" t="s">
        <v>19</v>
      </c>
      <c r="I160" t="s">
        <v>533</v>
      </c>
      <c r="J160">
        <v>1</v>
      </c>
      <c r="K160" t="str">
        <f t="shared" si="12"/>
        <v>Deanna Abbott</v>
      </c>
      <c r="L160" t="str">
        <f t="shared" si="13"/>
        <v>Female</v>
      </c>
      <c r="M160" t="str">
        <f t="shared" si="14"/>
        <v>Damon Hayes</v>
      </c>
      <c r="N160" s="4" t="str">
        <f t="shared" si="15"/>
        <v>Orthopedics</v>
      </c>
      <c r="O160" s="6">
        <f t="shared" si="16"/>
        <v>192.67</v>
      </c>
      <c r="P160" s="4" t="str">
        <f t="shared" si="17"/>
        <v>Yes</v>
      </c>
      <c r="Q160" s="4" t="str">
        <f>IF(OR(A160="",C160="",L160="Missing",M160="Missing",O160="0.00",K160="Missing"),"Review","OK")</f>
        <v>OK</v>
      </c>
    </row>
    <row r="161" spans="1:17" x14ac:dyDescent="0.3">
      <c r="A161">
        <v>1038</v>
      </c>
      <c r="B161" t="s">
        <v>534</v>
      </c>
      <c r="C161">
        <v>39</v>
      </c>
      <c r="D161" t="s">
        <v>56</v>
      </c>
      <c r="E161" s="3">
        <v>45953</v>
      </c>
      <c r="F161" s="3" t="s">
        <v>535</v>
      </c>
      <c r="G161" t="s">
        <v>536</v>
      </c>
      <c r="H161" t="s">
        <v>19</v>
      </c>
      <c r="J161">
        <v>0</v>
      </c>
      <c r="K161" t="str">
        <f t="shared" si="12"/>
        <v>Lindsay Rodriguez</v>
      </c>
      <c r="L161" t="str">
        <f t="shared" si="13"/>
        <v>Male</v>
      </c>
      <c r="M161" t="str">
        <f t="shared" si="14"/>
        <v>Troy Lynch</v>
      </c>
      <c r="N161" s="4" t="str">
        <f t="shared" si="15"/>
        <v>Orthopedics</v>
      </c>
      <c r="O161" s="6" t="str">
        <f t="shared" si="16"/>
        <v>0.00</v>
      </c>
      <c r="P161" s="4" t="str">
        <f t="shared" si="17"/>
        <v>No</v>
      </c>
      <c r="Q161" s="4" t="str">
        <f>IF(OR(A161="",C161="",L161="Missing",M161="Missing",O161="0.00",K161="Missing"),"Review","OK")</f>
        <v>Review</v>
      </c>
    </row>
    <row r="162" spans="1:17" x14ac:dyDescent="0.3">
      <c r="A162">
        <v>1000</v>
      </c>
      <c r="B162" t="s">
        <v>537</v>
      </c>
      <c r="C162">
        <v>81</v>
      </c>
      <c r="D162" t="s">
        <v>16</v>
      </c>
      <c r="E162" s="3">
        <v>45956</v>
      </c>
      <c r="F162" s="3">
        <v>45707</v>
      </c>
      <c r="G162" t="s">
        <v>538</v>
      </c>
      <c r="H162" t="s">
        <v>29</v>
      </c>
      <c r="I162" t="s">
        <v>539</v>
      </c>
      <c r="J162">
        <v>1</v>
      </c>
      <c r="K162" t="str">
        <f t="shared" si="12"/>
        <v>Christopher Singleton</v>
      </c>
      <c r="L162" t="str">
        <f t="shared" si="13"/>
        <v>Female</v>
      </c>
      <c r="M162" t="str">
        <f t="shared" si="14"/>
        <v>Brandy Graves</v>
      </c>
      <c r="N162" s="4" t="str">
        <f t="shared" si="15"/>
        <v>General</v>
      </c>
      <c r="O162" s="6">
        <f t="shared" si="16"/>
        <v>65.06</v>
      </c>
      <c r="P162" s="4" t="str">
        <f t="shared" si="17"/>
        <v>Yes</v>
      </c>
      <c r="Q162" s="4" t="str">
        <f>IF(OR(A162="",C162="",L162="Missing",M162="Missing",O162="0.00",K162="Missing"),"Review","OK")</f>
        <v>OK</v>
      </c>
    </row>
    <row r="163" spans="1:17" x14ac:dyDescent="0.3">
      <c r="A163">
        <v>1008</v>
      </c>
      <c r="B163" t="s">
        <v>540</v>
      </c>
      <c r="C163">
        <v>69</v>
      </c>
      <c r="D163">
        <v>0</v>
      </c>
      <c r="E163" s="3">
        <v>45874</v>
      </c>
      <c r="F163" s="3" t="s">
        <v>541</v>
      </c>
      <c r="G163" t="s">
        <v>542</v>
      </c>
      <c r="H163" t="s">
        <v>25</v>
      </c>
      <c r="I163" t="s">
        <v>543</v>
      </c>
      <c r="J163" t="s">
        <v>39</v>
      </c>
      <c r="K163" t="str">
        <f t="shared" si="12"/>
        <v>Michael Walsh</v>
      </c>
      <c r="L163" t="str">
        <f t="shared" si="13"/>
        <v>Male</v>
      </c>
      <c r="M163" t="str">
        <f t="shared" si="14"/>
        <v>Tammy Watts</v>
      </c>
      <c r="N163" s="4" t="str">
        <f t="shared" si="15"/>
        <v>Neurology</v>
      </c>
      <c r="O163" s="6">
        <f t="shared" si="16"/>
        <v>117.14</v>
      </c>
      <c r="P163" s="4" t="str">
        <f t="shared" si="17"/>
        <v>Yes</v>
      </c>
      <c r="Q163" s="4" t="str">
        <f>IF(OR(A163="",C163="",L163="Missing",M163="Missing",O163="0.00",K163="Missing"),"Review","OK")</f>
        <v>OK</v>
      </c>
    </row>
    <row r="164" spans="1:17" x14ac:dyDescent="0.3">
      <c r="A164">
        <v>1078</v>
      </c>
      <c r="B164" t="s">
        <v>544</v>
      </c>
      <c r="C164">
        <v>54</v>
      </c>
      <c r="D164">
        <v>0</v>
      </c>
      <c r="E164" s="3">
        <v>45867</v>
      </c>
      <c r="F164" s="3">
        <v>45449</v>
      </c>
      <c r="G164" t="s">
        <v>545</v>
      </c>
      <c r="H164" t="s">
        <v>25</v>
      </c>
      <c r="I164" t="s">
        <v>546</v>
      </c>
      <c r="J164" t="s">
        <v>31</v>
      </c>
      <c r="K164" t="str">
        <f t="shared" si="12"/>
        <v>Caroline Reed</v>
      </c>
      <c r="L164" t="str">
        <f t="shared" si="13"/>
        <v>Male</v>
      </c>
      <c r="M164" t="str">
        <f t="shared" si="14"/>
        <v>Eric Kelly</v>
      </c>
      <c r="N164" s="4" t="str">
        <f t="shared" si="15"/>
        <v>Neurology</v>
      </c>
      <c r="O164" s="6">
        <f t="shared" si="16"/>
        <v>433.77</v>
      </c>
      <c r="P164" s="4" t="str">
        <f t="shared" si="17"/>
        <v>No</v>
      </c>
      <c r="Q164" s="4" t="str">
        <f>IF(OR(A164="",C164="",L164="Missing",M164="Missing",O164="0.00",K164="Missing"),"Review","OK")</f>
        <v>OK</v>
      </c>
    </row>
    <row r="165" spans="1:17" x14ac:dyDescent="0.3">
      <c r="A165">
        <v>1038</v>
      </c>
      <c r="B165" t="s">
        <v>547</v>
      </c>
      <c r="C165">
        <v>79</v>
      </c>
      <c r="D165" t="s">
        <v>16</v>
      </c>
      <c r="E165" s="3">
        <v>45790</v>
      </c>
      <c r="F165" s="3">
        <v>45537</v>
      </c>
      <c r="G165" t="s">
        <v>548</v>
      </c>
      <c r="H165" t="s">
        <v>19</v>
      </c>
      <c r="I165" t="s">
        <v>549</v>
      </c>
      <c r="J165" t="s">
        <v>31</v>
      </c>
      <c r="K165" t="str">
        <f t="shared" si="12"/>
        <v>Jennifer Wells</v>
      </c>
      <c r="L165" t="str">
        <f t="shared" si="13"/>
        <v>Female</v>
      </c>
      <c r="M165" t="str">
        <f t="shared" si="14"/>
        <v>David Cole</v>
      </c>
      <c r="N165" s="4" t="str">
        <f t="shared" si="15"/>
        <v>Orthopedics</v>
      </c>
      <c r="O165" s="6">
        <f t="shared" si="16"/>
        <v>82.84</v>
      </c>
      <c r="P165" s="4" t="str">
        <f t="shared" si="17"/>
        <v>No</v>
      </c>
      <c r="Q165" s="4" t="str">
        <f>IF(OR(A165="",C165="",L165="Missing",M165="Missing",O165="0.00",K165="Missing"),"Review","OK")</f>
        <v>OK</v>
      </c>
    </row>
    <row r="166" spans="1:17" x14ac:dyDescent="0.3">
      <c r="A166">
        <v>1082</v>
      </c>
      <c r="B166" t="s">
        <v>550</v>
      </c>
      <c r="C166">
        <v>87</v>
      </c>
      <c r="E166" s="3">
        <v>45742</v>
      </c>
      <c r="F166" s="3">
        <v>45377</v>
      </c>
      <c r="G166" t="s">
        <v>551</v>
      </c>
      <c r="H166" t="s">
        <v>19</v>
      </c>
      <c r="I166" t="s">
        <v>552</v>
      </c>
      <c r="J166" t="s">
        <v>39</v>
      </c>
      <c r="K166" t="str">
        <f t="shared" si="12"/>
        <v>Gary Walker</v>
      </c>
      <c r="L166" t="str">
        <f t="shared" si="13"/>
        <v>Missing</v>
      </c>
      <c r="M166" t="str">
        <f t="shared" si="14"/>
        <v>Matthew Lopez</v>
      </c>
      <c r="N166" s="4" t="str">
        <f t="shared" si="15"/>
        <v>Orthopedics</v>
      </c>
      <c r="O166" s="6">
        <f t="shared" si="16"/>
        <v>216.23</v>
      </c>
      <c r="P166" s="4" t="str">
        <f t="shared" si="17"/>
        <v>Yes</v>
      </c>
      <c r="Q166" s="4" t="str">
        <f>IF(OR(A166="",C166="",L166="Missing",M166="Missing",O166="0.00",K166="Missing"),"Review","OK")</f>
        <v>Review</v>
      </c>
    </row>
    <row r="167" spans="1:17" x14ac:dyDescent="0.3">
      <c r="A167">
        <v>1028</v>
      </c>
      <c r="B167" t="s">
        <v>553</v>
      </c>
      <c r="C167">
        <v>24</v>
      </c>
      <c r="D167" t="s">
        <v>56</v>
      </c>
      <c r="E167" s="3">
        <v>46010</v>
      </c>
      <c r="F167" s="3">
        <v>45839</v>
      </c>
      <c r="G167" t="s">
        <v>554</v>
      </c>
      <c r="H167" t="s">
        <v>29</v>
      </c>
      <c r="I167" t="s">
        <v>555</v>
      </c>
      <c r="J167" t="s">
        <v>39</v>
      </c>
      <c r="K167" t="str">
        <f t="shared" si="12"/>
        <v>Michelle Johnson</v>
      </c>
      <c r="L167" t="str">
        <f t="shared" si="13"/>
        <v>Male</v>
      </c>
      <c r="M167" t="str">
        <f t="shared" si="14"/>
        <v>Jennifer Brooks</v>
      </c>
      <c r="N167" s="4" t="str">
        <f t="shared" si="15"/>
        <v>General</v>
      </c>
      <c r="O167" s="6">
        <f t="shared" si="16"/>
        <v>492.98</v>
      </c>
      <c r="P167" s="4" t="str">
        <f t="shared" si="17"/>
        <v>Yes</v>
      </c>
      <c r="Q167" s="4" t="str">
        <f>IF(OR(A167="",C167="",L167="Missing",M167="Missing",O167="0.00",K167="Missing"),"Review","OK")</f>
        <v>OK</v>
      </c>
    </row>
    <row r="168" spans="1:17" x14ac:dyDescent="0.3">
      <c r="A168">
        <v>1048</v>
      </c>
      <c r="B168" t="s">
        <v>556</v>
      </c>
      <c r="C168">
        <v>77</v>
      </c>
      <c r="D168" t="s">
        <v>11</v>
      </c>
      <c r="E168" s="3">
        <v>45951</v>
      </c>
      <c r="F168" s="3">
        <v>45491</v>
      </c>
      <c r="G168" t="s">
        <v>557</v>
      </c>
      <c r="H168" t="s">
        <v>29</v>
      </c>
      <c r="I168" t="s">
        <v>558</v>
      </c>
      <c r="J168" t="s">
        <v>65</v>
      </c>
      <c r="K168" t="str">
        <f t="shared" si="12"/>
        <v>Malik Robinson</v>
      </c>
      <c r="L168" t="str">
        <f t="shared" si="13"/>
        <v>Female</v>
      </c>
      <c r="M168" t="str">
        <f t="shared" si="14"/>
        <v>Amber Little</v>
      </c>
      <c r="N168" s="4" t="str">
        <f t="shared" si="15"/>
        <v>General</v>
      </c>
      <c r="O168" s="6">
        <f t="shared" si="16"/>
        <v>280.77</v>
      </c>
      <c r="P168" s="4" t="str">
        <f t="shared" si="17"/>
        <v>No</v>
      </c>
      <c r="Q168" s="4" t="str">
        <f>IF(OR(A168="",C168="",L168="Missing",M168="Missing",O168="0.00",K168="Missing"),"Review","OK")</f>
        <v>OK</v>
      </c>
    </row>
    <row r="169" spans="1:17" x14ac:dyDescent="0.3">
      <c r="A169">
        <v>1035</v>
      </c>
      <c r="B169" t="s">
        <v>559</v>
      </c>
      <c r="C169">
        <v>60</v>
      </c>
      <c r="D169">
        <v>1</v>
      </c>
      <c r="E169" s="3">
        <v>45974</v>
      </c>
      <c r="F169" s="3">
        <v>45831</v>
      </c>
      <c r="G169" t="s">
        <v>560</v>
      </c>
      <c r="H169" t="s">
        <v>13</v>
      </c>
      <c r="I169" t="s">
        <v>561</v>
      </c>
      <c r="J169" t="s">
        <v>65</v>
      </c>
      <c r="K169" t="str">
        <f t="shared" si="12"/>
        <v>Michael Glenn</v>
      </c>
      <c r="L169" t="str">
        <f t="shared" si="13"/>
        <v>Female</v>
      </c>
      <c r="M169" t="str">
        <f t="shared" si="14"/>
        <v>Robert Martinez</v>
      </c>
      <c r="N169" s="4" t="str">
        <f t="shared" si="15"/>
        <v>Cardiology</v>
      </c>
      <c r="O169" s="6">
        <f t="shared" si="16"/>
        <v>99.19</v>
      </c>
      <c r="P169" s="4" t="str">
        <f t="shared" si="17"/>
        <v>No</v>
      </c>
      <c r="Q169" s="4" t="str">
        <f>IF(OR(A169="",C169="",L169="Missing",M169="Missing",O169="0.00",K169="Missing"),"Review","OK")</f>
        <v>OK</v>
      </c>
    </row>
    <row r="170" spans="1:17" x14ac:dyDescent="0.3">
      <c r="A170">
        <v>1010</v>
      </c>
      <c r="B170" t="s">
        <v>562</v>
      </c>
      <c r="C170">
        <v>57</v>
      </c>
      <c r="D170" t="s">
        <v>76</v>
      </c>
      <c r="E170" s="3">
        <v>45802</v>
      </c>
      <c r="F170" s="3">
        <v>45744</v>
      </c>
      <c r="G170" t="s">
        <v>563</v>
      </c>
      <c r="H170" t="s">
        <v>29</v>
      </c>
      <c r="I170" t="s">
        <v>564</v>
      </c>
      <c r="J170" t="s">
        <v>21</v>
      </c>
      <c r="K170" t="str">
        <f t="shared" si="12"/>
        <v>Anthony Cortez</v>
      </c>
      <c r="L170" t="str">
        <f t="shared" si="13"/>
        <v>Male</v>
      </c>
      <c r="M170" t="str">
        <f t="shared" si="14"/>
        <v>Derrick Cook</v>
      </c>
      <c r="N170" s="4" t="str">
        <f t="shared" si="15"/>
        <v>General</v>
      </c>
      <c r="O170" s="6">
        <f t="shared" si="16"/>
        <v>225.83</v>
      </c>
      <c r="P170" s="4" t="str">
        <f t="shared" si="17"/>
        <v>Yes</v>
      </c>
      <c r="Q170" s="4" t="str">
        <f>IF(OR(A170="",C170="",L170="Missing",M170="Missing",O170="0.00",K170="Missing"),"Review","OK")</f>
        <v>OK</v>
      </c>
    </row>
    <row r="171" spans="1:17" x14ac:dyDescent="0.3">
      <c r="A171">
        <v>1043</v>
      </c>
      <c r="B171" t="s">
        <v>565</v>
      </c>
      <c r="C171">
        <v>69</v>
      </c>
      <c r="D171" t="s">
        <v>56</v>
      </c>
      <c r="E171" s="3">
        <v>45783</v>
      </c>
      <c r="F171" s="3">
        <v>45563</v>
      </c>
      <c r="G171" t="s">
        <v>566</v>
      </c>
      <c r="H171" t="s">
        <v>13</v>
      </c>
      <c r="I171" t="s">
        <v>567</v>
      </c>
      <c r="J171" t="s">
        <v>39</v>
      </c>
      <c r="K171" t="str">
        <f t="shared" si="12"/>
        <v>Daniel Cole</v>
      </c>
      <c r="L171" t="str">
        <f t="shared" si="13"/>
        <v>Male</v>
      </c>
      <c r="M171" t="str">
        <f t="shared" si="14"/>
        <v>Dustin Jones</v>
      </c>
      <c r="N171" s="4" t="str">
        <f t="shared" si="15"/>
        <v>Cardiology</v>
      </c>
      <c r="O171" s="6">
        <f t="shared" si="16"/>
        <v>458.12</v>
      </c>
      <c r="P171" s="4" t="str">
        <f t="shared" si="17"/>
        <v>Yes</v>
      </c>
      <c r="Q171" s="4" t="str">
        <f>IF(OR(A171="",C171="",L171="Missing",M171="Missing",O171="0.00",K171="Missing"),"Review","OK")</f>
        <v>OK</v>
      </c>
    </row>
    <row r="172" spans="1:17" x14ac:dyDescent="0.3">
      <c r="A172">
        <v>1083</v>
      </c>
      <c r="B172" t="s">
        <v>568</v>
      </c>
      <c r="C172">
        <v>58</v>
      </c>
      <c r="D172" t="s">
        <v>23</v>
      </c>
      <c r="E172" s="3">
        <v>46039</v>
      </c>
      <c r="F172" s="3">
        <v>45859</v>
      </c>
      <c r="G172" t="s">
        <v>569</v>
      </c>
      <c r="H172" t="s">
        <v>13</v>
      </c>
      <c r="I172" t="s">
        <v>570</v>
      </c>
      <c r="J172" t="s">
        <v>65</v>
      </c>
      <c r="K172" t="str">
        <f t="shared" si="12"/>
        <v>Matthew Lloyd</v>
      </c>
      <c r="L172" t="str">
        <f t="shared" si="13"/>
        <v>Male</v>
      </c>
      <c r="M172" t="str">
        <f t="shared" si="14"/>
        <v>Timothy Morgan</v>
      </c>
      <c r="N172" s="4" t="str">
        <f t="shared" si="15"/>
        <v>Cardiology</v>
      </c>
      <c r="O172" s="6">
        <f t="shared" si="16"/>
        <v>244.78</v>
      </c>
      <c r="P172" s="4" t="str">
        <f t="shared" si="17"/>
        <v>No</v>
      </c>
      <c r="Q172" s="4" t="str">
        <f>IF(OR(A172="",C172="",L172="Missing",M172="Missing",O172="0.00",K172="Missing"),"Review","OK")</f>
        <v>OK</v>
      </c>
    </row>
    <row r="173" spans="1:17" x14ac:dyDescent="0.3">
      <c r="A173">
        <v>1026</v>
      </c>
      <c r="B173" t="s">
        <v>571</v>
      </c>
      <c r="C173">
        <v>86</v>
      </c>
      <c r="D173" t="s">
        <v>16</v>
      </c>
      <c r="E173" s="3">
        <v>46008</v>
      </c>
      <c r="F173" s="3">
        <v>45919</v>
      </c>
      <c r="G173" t="s">
        <v>572</v>
      </c>
      <c r="H173" t="s">
        <v>19</v>
      </c>
      <c r="I173" t="s">
        <v>573</v>
      </c>
      <c r="J173">
        <v>0</v>
      </c>
      <c r="K173" t="str">
        <f t="shared" si="12"/>
        <v>Jason Hicks</v>
      </c>
      <c r="L173" t="str">
        <f t="shared" si="13"/>
        <v>Female</v>
      </c>
      <c r="M173" t="str">
        <f t="shared" si="14"/>
        <v>Stacey Garcia</v>
      </c>
      <c r="N173" s="4" t="str">
        <f t="shared" si="15"/>
        <v>Orthopedics</v>
      </c>
      <c r="O173" s="6">
        <f t="shared" si="16"/>
        <v>330.37</v>
      </c>
      <c r="P173" s="4" t="str">
        <f t="shared" si="17"/>
        <v>No</v>
      </c>
      <c r="Q173" s="4" t="str">
        <f>IF(OR(A173="",C173="",L173="Missing",M173="Missing",O173="0.00",K173="Missing"),"Review","OK")</f>
        <v>OK</v>
      </c>
    </row>
    <row r="174" spans="1:17" x14ac:dyDescent="0.3">
      <c r="A174">
        <v>1046</v>
      </c>
      <c r="B174" t="s">
        <v>574</v>
      </c>
      <c r="C174">
        <v>50</v>
      </c>
      <c r="D174" t="s">
        <v>16</v>
      </c>
      <c r="E174" s="3">
        <v>45994</v>
      </c>
      <c r="F174" s="3">
        <v>45506</v>
      </c>
      <c r="G174" t="s">
        <v>575</v>
      </c>
      <c r="H174" t="s">
        <v>19</v>
      </c>
      <c r="I174" t="s">
        <v>576</v>
      </c>
      <c r="J174" t="s">
        <v>39</v>
      </c>
      <c r="K174" t="str">
        <f t="shared" si="12"/>
        <v>Stephanie Cisneros</v>
      </c>
      <c r="L174" t="str">
        <f t="shared" si="13"/>
        <v>Female</v>
      </c>
      <c r="M174" t="str">
        <f t="shared" si="14"/>
        <v>Rachel Richards</v>
      </c>
      <c r="N174" s="4" t="str">
        <f t="shared" si="15"/>
        <v>Orthopedics</v>
      </c>
      <c r="O174" s="6">
        <f t="shared" si="16"/>
        <v>98.14</v>
      </c>
      <c r="P174" s="4" t="str">
        <f t="shared" si="17"/>
        <v>Yes</v>
      </c>
      <c r="Q174" s="4" t="str">
        <f>IF(OR(A174="",C174="",L174="Missing",M174="Missing",O174="0.00",K174="Missing"),"Review","OK")</f>
        <v>OK</v>
      </c>
    </row>
    <row r="175" spans="1:17" x14ac:dyDescent="0.3">
      <c r="A175">
        <v>1084</v>
      </c>
      <c r="B175" t="s">
        <v>577</v>
      </c>
      <c r="C175">
        <v>52</v>
      </c>
      <c r="E175" s="3">
        <v>46019</v>
      </c>
      <c r="F175" s="3">
        <v>45712</v>
      </c>
      <c r="G175" t="s">
        <v>578</v>
      </c>
      <c r="H175" t="s">
        <v>29</v>
      </c>
      <c r="I175" t="s">
        <v>579</v>
      </c>
      <c r="J175" t="s">
        <v>39</v>
      </c>
      <c r="K175" t="str">
        <f t="shared" si="12"/>
        <v>Troy Taylor</v>
      </c>
      <c r="L175" t="str">
        <f t="shared" si="13"/>
        <v>Missing</v>
      </c>
      <c r="M175" t="str">
        <f t="shared" si="14"/>
        <v>Jason Gill</v>
      </c>
      <c r="N175" s="4" t="str">
        <f t="shared" si="15"/>
        <v>General</v>
      </c>
      <c r="O175" s="6">
        <f t="shared" si="16"/>
        <v>464.69</v>
      </c>
      <c r="P175" s="4" t="str">
        <f t="shared" si="17"/>
        <v>Yes</v>
      </c>
      <c r="Q175" s="4" t="str">
        <f>IF(OR(A175="",C175="",L175="Missing",M175="Missing",O175="0.00",K175="Missing"),"Review","OK")</f>
        <v>Review</v>
      </c>
    </row>
    <row r="176" spans="1:17" x14ac:dyDescent="0.3">
      <c r="A176">
        <v>1006</v>
      </c>
      <c r="B176" t="s">
        <v>580</v>
      </c>
      <c r="C176">
        <v>54</v>
      </c>
      <c r="D176" t="s">
        <v>11</v>
      </c>
      <c r="E176" s="3" t="s">
        <v>581</v>
      </c>
      <c r="F176" s="3">
        <v>45300</v>
      </c>
      <c r="G176" t="s">
        <v>582</v>
      </c>
      <c r="H176" t="s">
        <v>19</v>
      </c>
      <c r="I176" t="s">
        <v>583</v>
      </c>
      <c r="J176" t="s">
        <v>31</v>
      </c>
      <c r="K176" t="str">
        <f t="shared" si="12"/>
        <v>Charles Cruz</v>
      </c>
      <c r="L176" t="str">
        <f t="shared" si="13"/>
        <v>Female</v>
      </c>
      <c r="M176" t="str">
        <f t="shared" si="14"/>
        <v>Jessica Sawyer</v>
      </c>
      <c r="N176" s="4" t="str">
        <f t="shared" si="15"/>
        <v>Orthopedics</v>
      </c>
      <c r="O176" s="6">
        <f t="shared" si="16"/>
        <v>91.65</v>
      </c>
      <c r="P176" s="4" t="str">
        <f t="shared" si="17"/>
        <v>No</v>
      </c>
      <c r="Q176" s="4" t="str">
        <f>IF(OR(A176="",C176="",L176="Missing",M176="Missing",O176="0.00",K176="Missing"),"Review","OK")</f>
        <v>OK</v>
      </c>
    </row>
    <row r="177" spans="1:17" x14ac:dyDescent="0.3">
      <c r="A177">
        <v>1015</v>
      </c>
      <c r="B177" t="s">
        <v>584</v>
      </c>
      <c r="C177">
        <v>43</v>
      </c>
      <c r="D177">
        <v>0</v>
      </c>
      <c r="E177" s="3">
        <v>45987</v>
      </c>
      <c r="F177" s="3" t="s">
        <v>585</v>
      </c>
      <c r="G177" t="s">
        <v>586</v>
      </c>
      <c r="H177" t="s">
        <v>25</v>
      </c>
      <c r="I177" t="s">
        <v>587</v>
      </c>
      <c r="J177" t="s">
        <v>21</v>
      </c>
      <c r="K177" t="str">
        <f t="shared" si="12"/>
        <v>Brenda Ward</v>
      </c>
      <c r="L177" t="str">
        <f t="shared" si="13"/>
        <v>Male</v>
      </c>
      <c r="M177" t="str">
        <f t="shared" si="14"/>
        <v>Tonya Smith</v>
      </c>
      <c r="N177" s="4" t="str">
        <f t="shared" si="15"/>
        <v>Neurology</v>
      </c>
      <c r="O177" s="6">
        <f t="shared" si="16"/>
        <v>425.67</v>
      </c>
      <c r="P177" s="4" t="str">
        <f t="shared" si="17"/>
        <v>Yes</v>
      </c>
      <c r="Q177" s="4" t="str">
        <f>IF(OR(A177="",C177="",L177="Missing",M177="Missing",O177="0.00",K177="Missing"),"Review","OK")</f>
        <v>OK</v>
      </c>
    </row>
    <row r="178" spans="1:17" x14ac:dyDescent="0.3">
      <c r="A178">
        <v>1091</v>
      </c>
      <c r="B178" t="s">
        <v>588</v>
      </c>
      <c r="C178">
        <v>80</v>
      </c>
      <c r="D178" t="s">
        <v>76</v>
      </c>
      <c r="E178" s="3">
        <v>45913</v>
      </c>
      <c r="F178" s="3">
        <v>45845</v>
      </c>
      <c r="G178" t="s">
        <v>589</v>
      </c>
      <c r="H178" t="s">
        <v>13</v>
      </c>
      <c r="J178" t="s">
        <v>21</v>
      </c>
      <c r="K178" t="str">
        <f t="shared" si="12"/>
        <v>David Martinez</v>
      </c>
      <c r="L178" t="str">
        <f t="shared" si="13"/>
        <v>Male</v>
      </c>
      <c r="M178" t="str">
        <f t="shared" si="14"/>
        <v>Amber Braun</v>
      </c>
      <c r="N178" s="4" t="str">
        <f t="shared" si="15"/>
        <v>Cardiology</v>
      </c>
      <c r="O178" s="6" t="str">
        <f t="shared" si="16"/>
        <v>0.00</v>
      </c>
      <c r="P178" s="4" t="str">
        <f t="shared" si="17"/>
        <v>Yes</v>
      </c>
      <c r="Q178" s="4" t="str">
        <f>IF(OR(A178="",C178="",L178="Missing",M178="Missing",O178="0.00",K178="Missing"),"Review","OK")</f>
        <v>Review</v>
      </c>
    </row>
    <row r="179" spans="1:17" x14ac:dyDescent="0.3">
      <c r="A179">
        <v>1024</v>
      </c>
      <c r="B179" t="s">
        <v>590</v>
      </c>
      <c r="C179">
        <v>34</v>
      </c>
      <c r="D179" t="s">
        <v>23</v>
      </c>
      <c r="E179" s="3">
        <v>46064</v>
      </c>
      <c r="F179" s="3" t="s">
        <v>591</v>
      </c>
      <c r="G179" t="s">
        <v>592</v>
      </c>
      <c r="H179" t="s">
        <v>19</v>
      </c>
      <c r="I179" t="s">
        <v>593</v>
      </c>
      <c r="J179">
        <v>1</v>
      </c>
      <c r="K179" t="str">
        <f t="shared" si="12"/>
        <v>Alex Webster</v>
      </c>
      <c r="L179" t="str">
        <f t="shared" si="13"/>
        <v>Male</v>
      </c>
      <c r="M179" t="str">
        <f t="shared" si="14"/>
        <v>Lorraine Schroeder</v>
      </c>
      <c r="N179" s="4" t="str">
        <f t="shared" si="15"/>
        <v>Orthopedics</v>
      </c>
      <c r="O179" s="6">
        <f t="shared" si="16"/>
        <v>140.86000000000001</v>
      </c>
      <c r="P179" s="4" t="str">
        <f t="shared" si="17"/>
        <v>Yes</v>
      </c>
      <c r="Q179" s="4" t="str">
        <f>IF(OR(A179="",C179="",L179="Missing",M179="Missing",O179="0.00",K179="Missing"),"Review","OK")</f>
        <v>OK</v>
      </c>
    </row>
    <row r="180" spans="1:17" x14ac:dyDescent="0.3">
      <c r="A180">
        <v>1033</v>
      </c>
      <c r="B180" t="s">
        <v>594</v>
      </c>
      <c r="C180">
        <v>87</v>
      </c>
      <c r="D180" t="s">
        <v>11</v>
      </c>
      <c r="E180" s="3">
        <v>45812</v>
      </c>
      <c r="F180" s="3">
        <v>45330</v>
      </c>
      <c r="G180" t="s">
        <v>595</v>
      </c>
      <c r="H180" t="s">
        <v>19</v>
      </c>
      <c r="I180" t="s">
        <v>596</v>
      </c>
      <c r="J180" t="s">
        <v>65</v>
      </c>
      <c r="K180" t="str">
        <f t="shared" si="12"/>
        <v>Carl Sanchez</v>
      </c>
      <c r="L180" t="str">
        <f t="shared" si="13"/>
        <v>Female</v>
      </c>
      <c r="M180" t="str">
        <f t="shared" si="14"/>
        <v>Christina Price</v>
      </c>
      <c r="N180" s="4" t="str">
        <f t="shared" si="15"/>
        <v>Orthopedics</v>
      </c>
      <c r="O180" s="6">
        <f t="shared" si="16"/>
        <v>446.06</v>
      </c>
      <c r="P180" s="4" t="str">
        <f t="shared" si="17"/>
        <v>No</v>
      </c>
      <c r="Q180" s="4" t="str">
        <f>IF(OR(A180="",C180="",L180="Missing",M180="Missing",O180="0.00",K180="Missing"),"Review","OK")</f>
        <v>OK</v>
      </c>
    </row>
    <row r="181" spans="1:17" x14ac:dyDescent="0.3">
      <c r="A181">
        <v>1010</v>
      </c>
      <c r="B181" t="s">
        <v>597</v>
      </c>
      <c r="C181">
        <v>21</v>
      </c>
      <c r="D181" t="s">
        <v>16</v>
      </c>
      <c r="E181" s="3">
        <v>46065</v>
      </c>
      <c r="F181" s="3">
        <v>45840</v>
      </c>
      <c r="G181" t="s">
        <v>598</v>
      </c>
      <c r="H181" t="s">
        <v>25</v>
      </c>
      <c r="I181" t="s">
        <v>599</v>
      </c>
      <c r="J181" t="s">
        <v>21</v>
      </c>
      <c r="K181" t="str">
        <f t="shared" si="12"/>
        <v>Lucas Ray</v>
      </c>
      <c r="L181" t="str">
        <f t="shared" si="13"/>
        <v>Female</v>
      </c>
      <c r="M181" t="str">
        <f t="shared" si="14"/>
        <v>Carrie Larsen</v>
      </c>
      <c r="N181" s="4" t="str">
        <f t="shared" si="15"/>
        <v>Neurology</v>
      </c>
      <c r="O181" s="6">
        <f t="shared" si="16"/>
        <v>138.59</v>
      </c>
      <c r="P181" s="4" t="str">
        <f t="shared" si="17"/>
        <v>Yes</v>
      </c>
      <c r="Q181" s="4" t="str">
        <f>IF(OR(A181="",C181="",L181="Missing",M181="Missing",O181="0.00",K181="Missing"),"Review","OK")</f>
        <v>OK</v>
      </c>
    </row>
    <row r="182" spans="1:17" x14ac:dyDescent="0.3">
      <c r="A182">
        <v>1082</v>
      </c>
      <c r="B182" t="s">
        <v>600</v>
      </c>
      <c r="C182">
        <v>37</v>
      </c>
      <c r="D182" t="s">
        <v>23</v>
      </c>
      <c r="E182" s="3">
        <v>45978</v>
      </c>
      <c r="F182" s="3">
        <v>45664</v>
      </c>
      <c r="G182" t="s">
        <v>601</v>
      </c>
      <c r="H182" t="s">
        <v>19</v>
      </c>
      <c r="I182" t="s">
        <v>602</v>
      </c>
      <c r="J182">
        <v>0</v>
      </c>
      <c r="K182" t="str">
        <f t="shared" si="12"/>
        <v>Cynthia Wells</v>
      </c>
      <c r="L182" t="str">
        <f t="shared" si="13"/>
        <v>Male</v>
      </c>
      <c r="M182" t="str">
        <f t="shared" si="14"/>
        <v>Ashlee Romero</v>
      </c>
      <c r="N182" s="4" t="str">
        <f t="shared" si="15"/>
        <v>Orthopedics</v>
      </c>
      <c r="O182" s="6">
        <f t="shared" si="16"/>
        <v>448.6</v>
      </c>
      <c r="P182" s="4" t="str">
        <f t="shared" si="17"/>
        <v>No</v>
      </c>
      <c r="Q182" s="4" t="str">
        <f>IF(OR(A182="",C182="",L182="Missing",M182="Missing",O182="0.00",K182="Missing"),"Review","OK")</f>
        <v>OK</v>
      </c>
    </row>
    <row r="183" spans="1:17" x14ac:dyDescent="0.3">
      <c r="A183">
        <v>1096</v>
      </c>
      <c r="B183" t="s">
        <v>603</v>
      </c>
      <c r="C183">
        <v>42</v>
      </c>
      <c r="D183" t="s">
        <v>56</v>
      </c>
      <c r="E183" s="3">
        <v>45881</v>
      </c>
      <c r="F183" s="3">
        <v>45513</v>
      </c>
      <c r="G183" t="s">
        <v>604</v>
      </c>
      <c r="H183" t="s">
        <v>25</v>
      </c>
      <c r="I183" t="s">
        <v>605</v>
      </c>
      <c r="J183" t="s">
        <v>31</v>
      </c>
      <c r="K183" t="str">
        <f t="shared" si="12"/>
        <v>Dwayne Clarke</v>
      </c>
      <c r="L183" t="str">
        <f t="shared" si="13"/>
        <v>Male</v>
      </c>
      <c r="M183" t="str">
        <f t="shared" si="14"/>
        <v>Andrew Meadows</v>
      </c>
      <c r="N183" s="4" t="str">
        <f t="shared" si="15"/>
        <v>Neurology</v>
      </c>
      <c r="O183" s="6">
        <f t="shared" si="16"/>
        <v>150.94</v>
      </c>
      <c r="P183" s="4" t="str">
        <f t="shared" si="17"/>
        <v>No</v>
      </c>
      <c r="Q183" s="4" t="str">
        <f>IF(OR(A183="",C183="",L183="Missing",M183="Missing",O183="0.00",K183="Missing"),"Review","OK")</f>
        <v>OK</v>
      </c>
    </row>
    <row r="184" spans="1:17" x14ac:dyDescent="0.3">
      <c r="A184">
        <v>1011</v>
      </c>
      <c r="B184" t="s">
        <v>606</v>
      </c>
      <c r="C184">
        <v>53</v>
      </c>
      <c r="D184">
        <v>1</v>
      </c>
      <c r="E184" s="3">
        <v>45956</v>
      </c>
      <c r="F184" s="3">
        <v>45914</v>
      </c>
      <c r="G184" t="s">
        <v>607</v>
      </c>
      <c r="H184" t="s">
        <v>25</v>
      </c>
      <c r="I184" t="s">
        <v>608</v>
      </c>
      <c r="J184">
        <v>0</v>
      </c>
      <c r="K184" t="str">
        <f t="shared" si="12"/>
        <v>James Jimenez</v>
      </c>
      <c r="L184" t="str">
        <f t="shared" si="13"/>
        <v>Female</v>
      </c>
      <c r="M184" t="str">
        <f t="shared" si="14"/>
        <v>Ryan Marsh</v>
      </c>
      <c r="N184" s="4" t="str">
        <f t="shared" si="15"/>
        <v>Neurology</v>
      </c>
      <c r="O184" s="6">
        <f t="shared" si="16"/>
        <v>339.19</v>
      </c>
      <c r="P184" s="4" t="str">
        <f t="shared" si="17"/>
        <v>No</v>
      </c>
      <c r="Q184" s="4" t="str">
        <f>IF(OR(A184="",C184="",L184="Missing",M184="Missing",O184="0.00",K184="Missing"),"Review","OK")</f>
        <v>OK</v>
      </c>
    </row>
    <row r="185" spans="1:17" x14ac:dyDescent="0.3">
      <c r="A185">
        <v>1002</v>
      </c>
      <c r="B185" t="s">
        <v>609</v>
      </c>
      <c r="C185">
        <v>35</v>
      </c>
      <c r="D185">
        <v>1</v>
      </c>
      <c r="E185" s="3" t="s">
        <v>610</v>
      </c>
      <c r="F185" s="3">
        <v>45436</v>
      </c>
      <c r="G185" t="s">
        <v>611</v>
      </c>
      <c r="H185" t="s">
        <v>25</v>
      </c>
      <c r="I185" t="s">
        <v>612</v>
      </c>
      <c r="J185" t="s">
        <v>21</v>
      </c>
      <c r="K185" t="str">
        <f t="shared" si="12"/>
        <v>Dr. Michele Copeland</v>
      </c>
      <c r="L185" t="str">
        <f t="shared" si="13"/>
        <v>Female</v>
      </c>
      <c r="M185" t="str">
        <f t="shared" si="14"/>
        <v>Debra Castillo</v>
      </c>
      <c r="N185" s="4" t="str">
        <f t="shared" si="15"/>
        <v>Neurology</v>
      </c>
      <c r="O185" s="6">
        <f t="shared" si="16"/>
        <v>187.28</v>
      </c>
      <c r="P185" s="4" t="str">
        <f t="shared" si="17"/>
        <v>Yes</v>
      </c>
      <c r="Q185" s="4" t="str">
        <f>IF(OR(A185="",C185="",L185="Missing",M185="Missing",O185="0.00",K185="Missing"),"Review","OK")</f>
        <v>OK</v>
      </c>
    </row>
    <row r="186" spans="1:17" x14ac:dyDescent="0.3">
      <c r="A186">
        <v>1016</v>
      </c>
      <c r="B186" t="s">
        <v>613</v>
      </c>
      <c r="C186">
        <v>44</v>
      </c>
      <c r="D186" t="s">
        <v>56</v>
      </c>
      <c r="E186" s="3">
        <v>45830</v>
      </c>
      <c r="F186" s="3">
        <v>45461</v>
      </c>
      <c r="G186" t="s">
        <v>614</v>
      </c>
      <c r="H186" t="s">
        <v>19</v>
      </c>
      <c r="I186" t="s">
        <v>615</v>
      </c>
      <c r="J186">
        <v>1</v>
      </c>
      <c r="K186" t="str">
        <f t="shared" si="12"/>
        <v>Travis Allen Md</v>
      </c>
      <c r="L186" t="str">
        <f t="shared" si="13"/>
        <v>Male</v>
      </c>
      <c r="M186" t="str">
        <f t="shared" si="14"/>
        <v>Karen White</v>
      </c>
      <c r="N186" s="4" t="str">
        <f t="shared" si="15"/>
        <v>Orthopedics</v>
      </c>
      <c r="O186" s="6">
        <f t="shared" si="16"/>
        <v>157.66</v>
      </c>
      <c r="P186" s="4" t="str">
        <f t="shared" si="17"/>
        <v>Yes</v>
      </c>
      <c r="Q186" s="4" t="str">
        <f>IF(OR(A186="",C186="",L186="Missing",M186="Missing",O186="0.00",K186="Missing"),"Review","OK")</f>
        <v>OK</v>
      </c>
    </row>
    <row r="187" spans="1:17" x14ac:dyDescent="0.3">
      <c r="A187">
        <v>1077</v>
      </c>
      <c r="B187" t="s">
        <v>616</v>
      </c>
      <c r="C187">
        <v>83</v>
      </c>
      <c r="D187" t="s">
        <v>76</v>
      </c>
      <c r="E187" s="3">
        <v>45790</v>
      </c>
      <c r="F187" s="3">
        <v>45716</v>
      </c>
      <c r="G187" t="s">
        <v>144</v>
      </c>
      <c r="H187" t="s">
        <v>29</v>
      </c>
      <c r="I187" t="s">
        <v>617</v>
      </c>
      <c r="J187" t="s">
        <v>39</v>
      </c>
      <c r="K187" t="str">
        <f t="shared" si="12"/>
        <v>Bradley Fuller</v>
      </c>
      <c r="L187" t="str">
        <f t="shared" si="13"/>
        <v>Male</v>
      </c>
      <c r="M187" t="str">
        <f t="shared" si="14"/>
        <v>John Yang</v>
      </c>
      <c r="N187" s="4" t="str">
        <f t="shared" si="15"/>
        <v>General</v>
      </c>
      <c r="O187" s="6">
        <f t="shared" si="16"/>
        <v>69.97</v>
      </c>
      <c r="P187" s="4" t="str">
        <f t="shared" si="17"/>
        <v>Yes</v>
      </c>
      <c r="Q187" s="4" t="str">
        <f>IF(OR(A187="",C187="",L187="Missing",M187="Missing",O187="0.00",K187="Missing"),"Review","OK")</f>
        <v>OK</v>
      </c>
    </row>
    <row r="188" spans="1:17" x14ac:dyDescent="0.3">
      <c r="A188">
        <v>1026</v>
      </c>
      <c r="B188" t="s">
        <v>618</v>
      </c>
      <c r="C188">
        <v>25</v>
      </c>
      <c r="D188" t="s">
        <v>11</v>
      </c>
      <c r="E188" s="3">
        <v>45845</v>
      </c>
      <c r="F188" s="3">
        <v>45449</v>
      </c>
      <c r="G188" t="s">
        <v>619</v>
      </c>
      <c r="H188" t="s">
        <v>29</v>
      </c>
      <c r="I188" t="s">
        <v>620</v>
      </c>
      <c r="J188" t="s">
        <v>21</v>
      </c>
      <c r="K188" t="str">
        <f t="shared" si="12"/>
        <v>Miss Crystal Davis Dds</v>
      </c>
      <c r="L188" t="str">
        <f t="shared" si="13"/>
        <v>Female</v>
      </c>
      <c r="M188" t="str">
        <f t="shared" si="14"/>
        <v>Christopher Hayes</v>
      </c>
      <c r="N188" s="4" t="str">
        <f t="shared" si="15"/>
        <v>General</v>
      </c>
      <c r="O188" s="6">
        <f t="shared" si="16"/>
        <v>490.55</v>
      </c>
      <c r="P188" s="4" t="str">
        <f t="shared" si="17"/>
        <v>Yes</v>
      </c>
      <c r="Q188" s="4" t="str">
        <f>IF(OR(A188="",C188="",L188="Missing",M188="Missing",O188="0.00",K188="Missing"),"Review","OK")</f>
        <v>OK</v>
      </c>
    </row>
    <row r="189" spans="1:17" x14ac:dyDescent="0.3">
      <c r="A189">
        <v>1052</v>
      </c>
      <c r="B189" t="s">
        <v>621</v>
      </c>
      <c r="C189">
        <v>59</v>
      </c>
      <c r="D189">
        <v>0</v>
      </c>
      <c r="E189" s="3" t="s">
        <v>622</v>
      </c>
      <c r="F189" s="3">
        <v>45683</v>
      </c>
      <c r="G189" t="s">
        <v>623</v>
      </c>
      <c r="H189" t="s">
        <v>19</v>
      </c>
      <c r="I189" t="s">
        <v>624</v>
      </c>
      <c r="J189" t="s">
        <v>65</v>
      </c>
      <c r="K189" t="str">
        <f t="shared" si="12"/>
        <v>Kara White</v>
      </c>
      <c r="L189" t="str">
        <f t="shared" si="13"/>
        <v>Male</v>
      </c>
      <c r="M189" t="str">
        <f t="shared" si="14"/>
        <v>Kyle Dawson</v>
      </c>
      <c r="N189" s="4" t="str">
        <f t="shared" si="15"/>
        <v>Orthopedics</v>
      </c>
      <c r="O189" s="6">
        <f t="shared" si="16"/>
        <v>315.64</v>
      </c>
      <c r="P189" s="4" t="str">
        <f t="shared" si="17"/>
        <v>No</v>
      </c>
      <c r="Q189" s="4" t="str">
        <f>IF(OR(A189="",C189="",L189="Missing",M189="Missing",O189="0.00",K189="Missing"),"Review","OK")</f>
        <v>OK</v>
      </c>
    </row>
    <row r="190" spans="1:17" x14ac:dyDescent="0.3">
      <c r="A190">
        <v>1040</v>
      </c>
      <c r="B190" t="s">
        <v>625</v>
      </c>
      <c r="C190">
        <v>33</v>
      </c>
      <c r="D190" t="s">
        <v>41</v>
      </c>
      <c r="E190" s="3">
        <v>46041</v>
      </c>
      <c r="F190" s="3">
        <v>45381</v>
      </c>
      <c r="G190" t="s">
        <v>626</v>
      </c>
      <c r="H190" t="s">
        <v>29</v>
      </c>
      <c r="I190" t="s">
        <v>627</v>
      </c>
      <c r="J190">
        <v>1</v>
      </c>
      <c r="K190" t="str">
        <f t="shared" si="12"/>
        <v>Briana Guerrero</v>
      </c>
      <c r="L190" t="str">
        <f t="shared" si="13"/>
        <v>Female</v>
      </c>
      <c r="M190" t="str">
        <f t="shared" si="14"/>
        <v>Molly Warner</v>
      </c>
      <c r="N190" s="4" t="str">
        <f t="shared" si="15"/>
        <v>General</v>
      </c>
      <c r="O190" s="6">
        <f t="shared" si="16"/>
        <v>231.08</v>
      </c>
      <c r="P190" s="4" t="str">
        <f t="shared" si="17"/>
        <v>Yes</v>
      </c>
      <c r="Q190" s="4" t="str">
        <f>IF(OR(A190="",C190="",L190="Missing",M190="Missing",O190="0.00",K190="Missing"),"Review","OK")</f>
        <v>OK</v>
      </c>
    </row>
    <row r="191" spans="1:17" x14ac:dyDescent="0.3">
      <c r="A191">
        <v>1068</v>
      </c>
      <c r="B191" t="s">
        <v>628</v>
      </c>
      <c r="C191">
        <v>29</v>
      </c>
      <c r="D191" t="s">
        <v>56</v>
      </c>
      <c r="E191" s="3">
        <v>45804</v>
      </c>
      <c r="F191" s="3">
        <v>45588</v>
      </c>
      <c r="G191" t="s">
        <v>629</v>
      </c>
      <c r="H191" t="s">
        <v>29</v>
      </c>
      <c r="I191" t="s">
        <v>630</v>
      </c>
      <c r="J191" t="s">
        <v>39</v>
      </c>
      <c r="K191" t="str">
        <f t="shared" si="12"/>
        <v>Judy Nguyen</v>
      </c>
      <c r="L191" t="str">
        <f t="shared" si="13"/>
        <v>Male</v>
      </c>
      <c r="M191" t="str">
        <f t="shared" si="14"/>
        <v>Michelle Ortega</v>
      </c>
      <c r="N191" s="4" t="str">
        <f t="shared" si="15"/>
        <v>General</v>
      </c>
      <c r="O191" s="6">
        <f t="shared" si="16"/>
        <v>429.14</v>
      </c>
      <c r="P191" s="4" t="str">
        <f t="shared" si="17"/>
        <v>Yes</v>
      </c>
      <c r="Q191" s="4" t="str">
        <f>IF(OR(A191="",C191="",L191="Missing",M191="Missing",O191="0.00",K191="Missing"),"Review","OK")</f>
        <v>OK</v>
      </c>
    </row>
    <row r="192" spans="1:17" x14ac:dyDescent="0.3">
      <c r="A192">
        <v>1013</v>
      </c>
      <c r="B192" t="s">
        <v>631</v>
      </c>
      <c r="C192">
        <v>25</v>
      </c>
      <c r="D192" t="s">
        <v>23</v>
      </c>
      <c r="E192" s="3">
        <v>45962</v>
      </c>
      <c r="F192" s="3">
        <v>45502</v>
      </c>
      <c r="G192" t="s">
        <v>632</v>
      </c>
      <c r="H192" t="s">
        <v>19</v>
      </c>
      <c r="I192" t="s">
        <v>633</v>
      </c>
      <c r="J192" t="s">
        <v>31</v>
      </c>
      <c r="K192" t="str">
        <f t="shared" si="12"/>
        <v>Sandra Murphy</v>
      </c>
      <c r="L192" t="str">
        <f t="shared" si="13"/>
        <v>Male</v>
      </c>
      <c r="M192" t="str">
        <f t="shared" si="14"/>
        <v>Shelby Brown</v>
      </c>
      <c r="N192" s="4" t="str">
        <f t="shared" si="15"/>
        <v>Orthopedics</v>
      </c>
      <c r="O192" s="6">
        <f t="shared" si="16"/>
        <v>93.12</v>
      </c>
      <c r="P192" s="4" t="str">
        <f t="shared" si="17"/>
        <v>No</v>
      </c>
      <c r="Q192" s="4" t="str">
        <f>IF(OR(A192="",C192="",L192="Missing",M192="Missing",O192="0.00",K192="Missing"),"Review","OK")</f>
        <v>OK</v>
      </c>
    </row>
    <row r="193" spans="1:17" x14ac:dyDescent="0.3">
      <c r="A193">
        <v>1024</v>
      </c>
      <c r="B193" t="s">
        <v>634</v>
      </c>
      <c r="C193">
        <v>33</v>
      </c>
      <c r="D193">
        <v>0</v>
      </c>
      <c r="E193" s="3">
        <v>46075</v>
      </c>
      <c r="F193" s="3">
        <v>45919</v>
      </c>
      <c r="G193" t="s">
        <v>635</v>
      </c>
      <c r="H193" t="s">
        <v>19</v>
      </c>
      <c r="I193" t="s">
        <v>636</v>
      </c>
      <c r="J193" t="s">
        <v>21</v>
      </c>
      <c r="K193" t="str">
        <f t="shared" si="12"/>
        <v>Debra Ford</v>
      </c>
      <c r="L193" t="str">
        <f t="shared" si="13"/>
        <v>Male</v>
      </c>
      <c r="M193" t="str">
        <f t="shared" si="14"/>
        <v>Allison Smith</v>
      </c>
      <c r="N193" s="4" t="str">
        <f t="shared" si="15"/>
        <v>Orthopedics</v>
      </c>
      <c r="O193" s="6">
        <f t="shared" si="16"/>
        <v>461.81</v>
      </c>
      <c r="P193" s="4" t="str">
        <f t="shared" si="17"/>
        <v>Yes</v>
      </c>
      <c r="Q193" s="4" t="str">
        <f>IF(OR(A193="",C193="",L193="Missing",M193="Missing",O193="0.00",K193="Missing"),"Review","OK")</f>
        <v>OK</v>
      </c>
    </row>
    <row r="194" spans="1:17" x14ac:dyDescent="0.3">
      <c r="A194">
        <v>1033</v>
      </c>
      <c r="B194" t="s">
        <v>637</v>
      </c>
      <c r="C194">
        <v>56</v>
      </c>
      <c r="D194">
        <v>0</v>
      </c>
      <c r="E194" s="3">
        <v>45849</v>
      </c>
      <c r="F194" s="3">
        <v>45632</v>
      </c>
      <c r="G194" t="s">
        <v>638</v>
      </c>
      <c r="H194" t="s">
        <v>19</v>
      </c>
      <c r="I194" t="s">
        <v>639</v>
      </c>
      <c r="J194" t="s">
        <v>39</v>
      </c>
      <c r="K194" t="str">
        <f t="shared" ref="K194:K257" si="18">PROPER(TRIM(CLEAN(B194)))</f>
        <v>Michelle Harris</v>
      </c>
      <c r="L194" t="str">
        <f t="shared" ref="L194:L257" si="19">_xlfn.LET(_xlpm.x,LOWER(TRIM(D194)),
IF(OR(_xlpm.x="f",_xlpm.x="female",_xlpm.x="1"),"Female",
IF(OR(_xlpm.x="m",_xlpm.x="male",_xlpm.x="0"),"Male",
IF(_xlpm.x="","Missing","Review"))))</f>
        <v>Male</v>
      </c>
      <c r="M194" t="str">
        <f t="shared" ref="M194:M257" si="20">PROPER(TRIM(CLEAN(G194)))</f>
        <v>Matthew Garrett</v>
      </c>
      <c r="N194" s="4" t="str">
        <f t="shared" ref="N194:N257" si="21">PROPER(TRIM(CLEAN(H194)))</f>
        <v>Orthopedics</v>
      </c>
      <c r="O194" s="6">
        <f t="shared" ref="O194:O257" si="22">_xlfn.LET(_xlpm.x,TRIM(I194),IF(_xlpm.x="","0.00",IFERROR(VALUE(SUBSTITUTE(SUBSTITUTE(SUBSTITUTE(SUBSTITUTE(SUBSTITUTE(SUBSTITUTE(_xlpm.x,"Â£",""),"â‚¬",""),"$",""),"Rs",""),"£",""),"€","")),"0.00")))</f>
        <v>130.72</v>
      </c>
      <c r="P194" s="4" t="str">
        <f t="shared" ref="P194:P257" si="23">_xlfn.LET(_xlpm.x,LOWER(TRIM(J194)),
IF(OR(_xlpm.x="y",_xlpm.x="yes",_xlpm.x="1"),"Yes",
IF(OR(_xlpm.x="n",_xlpm.x="no",_xlpm.x="0"),"No",
IF(_xlpm.x="","Missing","Review"))))</f>
        <v>Yes</v>
      </c>
      <c r="Q194" s="4" t="str">
        <f>IF(OR(A194="",C194="",L194="Missing",M194="Missing",O194="0.00",K194="Missing"),"Review","OK")</f>
        <v>OK</v>
      </c>
    </row>
    <row r="195" spans="1:17" x14ac:dyDescent="0.3">
      <c r="A195">
        <v>1067</v>
      </c>
      <c r="B195" t="s">
        <v>640</v>
      </c>
      <c r="C195">
        <v>85</v>
      </c>
      <c r="D195" t="s">
        <v>76</v>
      </c>
      <c r="E195" s="3">
        <v>45955</v>
      </c>
      <c r="F195" s="3">
        <v>45709</v>
      </c>
      <c r="G195" t="s">
        <v>641</v>
      </c>
      <c r="H195" t="s">
        <v>19</v>
      </c>
      <c r="I195" t="s">
        <v>642</v>
      </c>
      <c r="J195" t="s">
        <v>21</v>
      </c>
      <c r="K195" t="str">
        <f t="shared" si="18"/>
        <v>Ariel Davis</v>
      </c>
      <c r="L195" t="str">
        <f t="shared" si="19"/>
        <v>Male</v>
      </c>
      <c r="M195" t="str">
        <f t="shared" si="20"/>
        <v>Jason Gallagher</v>
      </c>
      <c r="N195" s="4" t="str">
        <f t="shared" si="21"/>
        <v>Orthopedics</v>
      </c>
      <c r="O195" s="6">
        <f t="shared" si="22"/>
        <v>85.63</v>
      </c>
      <c r="P195" s="4" t="str">
        <f t="shared" si="23"/>
        <v>Yes</v>
      </c>
      <c r="Q195" s="4" t="str">
        <f>IF(OR(A195="",C195="",L195="Missing",M195="Missing",O195="0.00",K195="Missing"),"Review","OK")</f>
        <v>OK</v>
      </c>
    </row>
    <row r="196" spans="1:17" x14ac:dyDescent="0.3">
      <c r="A196">
        <v>1045</v>
      </c>
      <c r="B196" t="s">
        <v>643</v>
      </c>
      <c r="C196">
        <v>24</v>
      </c>
      <c r="D196" t="s">
        <v>41</v>
      </c>
      <c r="E196" s="3">
        <v>45807</v>
      </c>
      <c r="F196" s="3" t="s">
        <v>644</v>
      </c>
      <c r="G196" t="s">
        <v>645</v>
      </c>
      <c r="H196" t="s">
        <v>25</v>
      </c>
      <c r="I196" t="s">
        <v>646</v>
      </c>
      <c r="J196" t="s">
        <v>39</v>
      </c>
      <c r="K196" t="str">
        <f t="shared" si="18"/>
        <v>Anna Garrett</v>
      </c>
      <c r="L196" t="str">
        <f t="shared" si="19"/>
        <v>Female</v>
      </c>
      <c r="M196" t="str">
        <f t="shared" si="20"/>
        <v>Alice Lucas</v>
      </c>
      <c r="N196" s="4" t="str">
        <f t="shared" si="21"/>
        <v>Neurology</v>
      </c>
      <c r="O196" s="6">
        <f t="shared" si="22"/>
        <v>394.9</v>
      </c>
      <c r="P196" s="4" t="str">
        <f t="shared" si="23"/>
        <v>Yes</v>
      </c>
      <c r="Q196" s="4" t="str">
        <f>IF(OR(A196="",C196="",L196="Missing",M196="Missing",O196="0.00",K196="Missing"),"Review","OK")</f>
        <v>OK</v>
      </c>
    </row>
    <row r="197" spans="1:17" x14ac:dyDescent="0.3">
      <c r="A197">
        <v>1087</v>
      </c>
      <c r="B197" t="s">
        <v>647</v>
      </c>
      <c r="C197">
        <v>31</v>
      </c>
      <c r="D197">
        <v>0</v>
      </c>
      <c r="E197" s="3" t="s">
        <v>648</v>
      </c>
      <c r="F197" s="3">
        <v>45749</v>
      </c>
      <c r="G197" t="s">
        <v>649</v>
      </c>
      <c r="H197" t="s">
        <v>29</v>
      </c>
      <c r="J197" t="s">
        <v>21</v>
      </c>
      <c r="K197" t="str">
        <f t="shared" si="18"/>
        <v>Kimberly Guzman</v>
      </c>
      <c r="L197" t="str">
        <f t="shared" si="19"/>
        <v>Male</v>
      </c>
      <c r="M197" t="str">
        <f t="shared" si="20"/>
        <v>Kristin Reeves</v>
      </c>
      <c r="N197" s="4" t="str">
        <f t="shared" si="21"/>
        <v>General</v>
      </c>
      <c r="O197" s="6" t="str">
        <f t="shared" si="22"/>
        <v>0.00</v>
      </c>
      <c r="P197" s="4" t="str">
        <f t="shared" si="23"/>
        <v>Yes</v>
      </c>
      <c r="Q197" s="4" t="str">
        <f>IF(OR(A197="",C197="",L197="Missing",M197="Missing",O197="0.00",K197="Missing"),"Review","OK")</f>
        <v>Review</v>
      </c>
    </row>
    <row r="198" spans="1:17" x14ac:dyDescent="0.3">
      <c r="A198">
        <v>1056</v>
      </c>
      <c r="B198" t="s">
        <v>650</v>
      </c>
      <c r="C198">
        <v>24</v>
      </c>
      <c r="D198" t="s">
        <v>16</v>
      </c>
      <c r="E198" s="3">
        <v>45769</v>
      </c>
      <c r="F198" s="3">
        <v>45740</v>
      </c>
      <c r="G198" t="s">
        <v>651</v>
      </c>
      <c r="H198" t="s">
        <v>29</v>
      </c>
      <c r="J198" t="s">
        <v>39</v>
      </c>
      <c r="K198" t="str">
        <f t="shared" si="18"/>
        <v>Terry Miller</v>
      </c>
      <c r="L198" t="str">
        <f t="shared" si="19"/>
        <v>Female</v>
      </c>
      <c r="M198" t="str">
        <f t="shared" si="20"/>
        <v>John Lyons</v>
      </c>
      <c r="N198" s="4" t="str">
        <f t="shared" si="21"/>
        <v>General</v>
      </c>
      <c r="O198" s="6" t="str">
        <f t="shared" si="22"/>
        <v>0.00</v>
      </c>
      <c r="P198" s="4" t="str">
        <f t="shared" si="23"/>
        <v>Yes</v>
      </c>
      <c r="Q198" s="4" t="str">
        <f>IF(OR(A198="",C198="",L198="Missing",M198="Missing",O198="0.00",K198="Missing"),"Review","OK")</f>
        <v>Review</v>
      </c>
    </row>
    <row r="199" spans="1:17" x14ac:dyDescent="0.3">
      <c r="A199">
        <v>1053</v>
      </c>
      <c r="B199" t="s">
        <v>652</v>
      </c>
      <c r="C199">
        <v>81</v>
      </c>
      <c r="D199" t="s">
        <v>41</v>
      </c>
      <c r="E199" s="3">
        <v>45760</v>
      </c>
      <c r="F199" s="3">
        <v>45629</v>
      </c>
      <c r="G199" t="s">
        <v>653</v>
      </c>
      <c r="H199" t="s">
        <v>13</v>
      </c>
      <c r="I199" t="s">
        <v>654</v>
      </c>
      <c r="J199" t="s">
        <v>21</v>
      </c>
      <c r="K199" t="str">
        <f t="shared" si="18"/>
        <v>Marissa Davidson</v>
      </c>
      <c r="L199" t="str">
        <f t="shared" si="19"/>
        <v>Female</v>
      </c>
      <c r="M199" t="str">
        <f t="shared" si="20"/>
        <v>Philip Davis</v>
      </c>
      <c r="N199" s="4" t="str">
        <f t="shared" si="21"/>
        <v>Cardiology</v>
      </c>
      <c r="O199" s="6">
        <f t="shared" si="22"/>
        <v>499.67</v>
      </c>
      <c r="P199" s="4" t="str">
        <f t="shared" si="23"/>
        <v>Yes</v>
      </c>
      <c r="Q199" s="4" t="str">
        <f>IF(OR(A199="",C199="",L199="Missing",M199="Missing",O199="0.00",K199="Missing"),"Review","OK")</f>
        <v>OK</v>
      </c>
    </row>
    <row r="200" spans="1:17" x14ac:dyDescent="0.3">
      <c r="A200">
        <v>1059</v>
      </c>
      <c r="B200" t="s">
        <v>655</v>
      </c>
      <c r="C200">
        <v>79</v>
      </c>
      <c r="D200" t="s">
        <v>56</v>
      </c>
      <c r="E200" s="3">
        <v>45893</v>
      </c>
      <c r="F200" s="3" t="s">
        <v>656</v>
      </c>
      <c r="G200" t="s">
        <v>657</v>
      </c>
      <c r="H200" t="s">
        <v>19</v>
      </c>
      <c r="I200" t="s">
        <v>658</v>
      </c>
      <c r="J200" t="s">
        <v>39</v>
      </c>
      <c r="K200" t="str">
        <f t="shared" si="18"/>
        <v>Emma Martin</v>
      </c>
      <c r="L200" t="str">
        <f t="shared" si="19"/>
        <v>Male</v>
      </c>
      <c r="M200" t="str">
        <f t="shared" si="20"/>
        <v>Charles Mcmillan</v>
      </c>
      <c r="N200" s="4" t="str">
        <f t="shared" si="21"/>
        <v>Orthopedics</v>
      </c>
      <c r="O200" s="6">
        <f t="shared" si="22"/>
        <v>66.64</v>
      </c>
      <c r="P200" s="4" t="str">
        <f t="shared" si="23"/>
        <v>Yes</v>
      </c>
      <c r="Q200" s="4" t="str">
        <f>IF(OR(A200="",C200="",L200="Missing",M200="Missing",O200="0.00",K200="Missing"),"Review","OK")</f>
        <v>OK</v>
      </c>
    </row>
    <row r="201" spans="1:17" x14ac:dyDescent="0.3">
      <c r="A201">
        <v>1050</v>
      </c>
      <c r="B201" t="s">
        <v>659</v>
      </c>
      <c r="C201">
        <v>32</v>
      </c>
      <c r="D201" t="s">
        <v>23</v>
      </c>
      <c r="E201" s="3">
        <v>45751</v>
      </c>
      <c r="F201" s="3">
        <v>45428</v>
      </c>
      <c r="G201" t="s">
        <v>660</v>
      </c>
      <c r="H201" t="s">
        <v>19</v>
      </c>
      <c r="I201" t="s">
        <v>661</v>
      </c>
      <c r="J201" t="s">
        <v>21</v>
      </c>
      <c r="K201" t="str">
        <f t="shared" si="18"/>
        <v>William Lewis</v>
      </c>
      <c r="L201" t="str">
        <f t="shared" si="19"/>
        <v>Male</v>
      </c>
      <c r="M201" t="str">
        <f t="shared" si="20"/>
        <v>Wesley Johnson</v>
      </c>
      <c r="N201" s="4" t="str">
        <f t="shared" si="21"/>
        <v>Orthopedics</v>
      </c>
      <c r="O201" s="6">
        <f t="shared" si="22"/>
        <v>361.31</v>
      </c>
      <c r="P201" s="4" t="str">
        <f t="shared" si="23"/>
        <v>Yes</v>
      </c>
      <c r="Q201" s="4" t="str">
        <f>IF(OR(A201="",C201="",L201="Missing",M201="Missing",O201="0.00",K201="Missing"),"Review","OK")</f>
        <v>OK</v>
      </c>
    </row>
    <row r="202" spans="1:17" x14ac:dyDescent="0.3">
      <c r="A202">
        <v>1044</v>
      </c>
      <c r="B202" t="s">
        <v>662</v>
      </c>
      <c r="C202">
        <v>21</v>
      </c>
      <c r="D202" t="s">
        <v>11</v>
      </c>
      <c r="E202" s="3">
        <v>45830</v>
      </c>
      <c r="F202" s="3">
        <v>45541</v>
      </c>
      <c r="G202" t="s">
        <v>663</v>
      </c>
      <c r="H202" t="s">
        <v>19</v>
      </c>
      <c r="I202" t="s">
        <v>664</v>
      </c>
      <c r="J202" t="s">
        <v>65</v>
      </c>
      <c r="K202" t="str">
        <f t="shared" si="18"/>
        <v>Robert Mclaughlin</v>
      </c>
      <c r="L202" t="str">
        <f t="shared" si="19"/>
        <v>Female</v>
      </c>
      <c r="M202" t="str">
        <f t="shared" si="20"/>
        <v>Shannon Mejia</v>
      </c>
      <c r="N202" s="4" t="str">
        <f t="shared" si="21"/>
        <v>Orthopedics</v>
      </c>
      <c r="O202" s="6">
        <f t="shared" si="22"/>
        <v>205.31</v>
      </c>
      <c r="P202" s="4" t="str">
        <f t="shared" si="23"/>
        <v>No</v>
      </c>
      <c r="Q202" s="4" t="str">
        <f>IF(OR(A202="",C202="",L202="Missing",M202="Missing",O202="0.00",K202="Missing"),"Review","OK")</f>
        <v>OK</v>
      </c>
    </row>
    <row r="203" spans="1:17" x14ac:dyDescent="0.3">
      <c r="A203">
        <v>1089</v>
      </c>
      <c r="B203" t="s">
        <v>665</v>
      </c>
      <c r="C203">
        <v>48</v>
      </c>
      <c r="D203">
        <v>1</v>
      </c>
      <c r="E203" s="3">
        <v>45742</v>
      </c>
      <c r="F203" s="3">
        <v>45629</v>
      </c>
      <c r="G203" t="s">
        <v>666</v>
      </c>
      <c r="H203" t="s">
        <v>13</v>
      </c>
      <c r="I203" t="s">
        <v>667</v>
      </c>
      <c r="J203">
        <v>0</v>
      </c>
      <c r="K203" t="str">
        <f t="shared" si="18"/>
        <v>William Sparks</v>
      </c>
      <c r="L203" t="str">
        <f t="shared" si="19"/>
        <v>Female</v>
      </c>
      <c r="M203" t="str">
        <f t="shared" si="20"/>
        <v>Jeffrey Ashley Jr.</v>
      </c>
      <c r="N203" s="4" t="str">
        <f t="shared" si="21"/>
        <v>Cardiology</v>
      </c>
      <c r="O203" s="6">
        <f t="shared" si="22"/>
        <v>193.18</v>
      </c>
      <c r="P203" s="4" t="str">
        <f t="shared" si="23"/>
        <v>No</v>
      </c>
      <c r="Q203" s="4" t="str">
        <f>IF(OR(A203="",C203="",L203="Missing",M203="Missing",O203="0.00",K203="Missing"),"Review","OK")</f>
        <v>OK</v>
      </c>
    </row>
    <row r="204" spans="1:17" x14ac:dyDescent="0.3">
      <c r="A204">
        <v>1074</v>
      </c>
      <c r="B204" t="s">
        <v>668</v>
      </c>
      <c r="C204">
        <v>23</v>
      </c>
      <c r="D204" t="s">
        <v>76</v>
      </c>
      <c r="E204" s="3">
        <v>45984</v>
      </c>
      <c r="F204" s="3">
        <v>45939</v>
      </c>
      <c r="G204" t="s">
        <v>669</v>
      </c>
      <c r="H204" t="s">
        <v>19</v>
      </c>
      <c r="I204" t="s">
        <v>670</v>
      </c>
      <c r="J204" t="s">
        <v>65</v>
      </c>
      <c r="K204" t="str">
        <f t="shared" si="18"/>
        <v>David Kidd</v>
      </c>
      <c r="L204" t="str">
        <f t="shared" si="19"/>
        <v>Male</v>
      </c>
      <c r="M204" t="str">
        <f t="shared" si="20"/>
        <v>Kathy Thompson</v>
      </c>
      <c r="N204" s="4" t="str">
        <f t="shared" si="21"/>
        <v>Orthopedics</v>
      </c>
      <c r="O204" s="6">
        <f t="shared" si="22"/>
        <v>321.33999999999997</v>
      </c>
      <c r="P204" s="4" t="str">
        <f t="shared" si="23"/>
        <v>No</v>
      </c>
      <c r="Q204" s="4" t="str">
        <f>IF(OR(A204="",C204="",L204="Missing",M204="Missing",O204="0.00",K204="Missing"),"Review","OK")</f>
        <v>OK</v>
      </c>
    </row>
    <row r="205" spans="1:17" x14ac:dyDescent="0.3">
      <c r="A205">
        <v>1026</v>
      </c>
      <c r="B205" t="s">
        <v>671</v>
      </c>
      <c r="C205">
        <v>87</v>
      </c>
      <c r="D205">
        <v>0</v>
      </c>
      <c r="E205" s="3">
        <v>46059</v>
      </c>
      <c r="F205" s="3">
        <v>45515</v>
      </c>
      <c r="G205" t="s">
        <v>672</v>
      </c>
      <c r="H205" t="s">
        <v>25</v>
      </c>
      <c r="I205" t="s">
        <v>673</v>
      </c>
      <c r="J205" t="s">
        <v>39</v>
      </c>
      <c r="K205" t="str">
        <f t="shared" si="18"/>
        <v>Brandon Martin</v>
      </c>
      <c r="L205" t="str">
        <f t="shared" si="19"/>
        <v>Male</v>
      </c>
      <c r="M205" t="str">
        <f t="shared" si="20"/>
        <v>John Miller</v>
      </c>
      <c r="N205" s="4" t="str">
        <f t="shared" si="21"/>
        <v>Neurology</v>
      </c>
      <c r="O205" s="6">
        <f t="shared" si="22"/>
        <v>446.44</v>
      </c>
      <c r="P205" s="4" t="str">
        <f t="shared" si="23"/>
        <v>Yes</v>
      </c>
      <c r="Q205" s="4" t="str">
        <f>IF(OR(A205="",C205="",L205="Missing",M205="Missing",O205="0.00",K205="Missing"),"Review","OK")</f>
        <v>OK</v>
      </c>
    </row>
    <row r="206" spans="1:17" x14ac:dyDescent="0.3">
      <c r="A206">
        <v>1059</v>
      </c>
      <c r="B206" t="s">
        <v>674</v>
      </c>
      <c r="C206">
        <v>27</v>
      </c>
      <c r="D206">
        <v>0</v>
      </c>
      <c r="E206" s="3">
        <v>45892</v>
      </c>
      <c r="F206" s="3">
        <v>45608</v>
      </c>
      <c r="G206" t="s">
        <v>675</v>
      </c>
      <c r="H206" t="s">
        <v>29</v>
      </c>
      <c r="I206" t="s">
        <v>676</v>
      </c>
      <c r="J206" t="s">
        <v>21</v>
      </c>
      <c r="K206" t="str">
        <f t="shared" si="18"/>
        <v>Amanda Martinez</v>
      </c>
      <c r="L206" t="str">
        <f t="shared" si="19"/>
        <v>Male</v>
      </c>
      <c r="M206" t="str">
        <f t="shared" si="20"/>
        <v>Gary Bowman</v>
      </c>
      <c r="N206" s="4" t="str">
        <f t="shared" si="21"/>
        <v>General</v>
      </c>
      <c r="O206" s="6">
        <f t="shared" si="22"/>
        <v>165.8</v>
      </c>
      <c r="P206" s="4" t="str">
        <f t="shared" si="23"/>
        <v>Yes</v>
      </c>
      <c r="Q206" s="4" t="str">
        <f>IF(OR(A206="",C206="",L206="Missing",M206="Missing",O206="0.00",K206="Missing"),"Review","OK")</f>
        <v>OK</v>
      </c>
    </row>
    <row r="207" spans="1:17" x14ac:dyDescent="0.3">
      <c r="A207">
        <v>1065</v>
      </c>
      <c r="B207" t="s">
        <v>677</v>
      </c>
      <c r="C207">
        <v>71</v>
      </c>
      <c r="D207" t="s">
        <v>41</v>
      </c>
      <c r="E207" s="3">
        <v>46206</v>
      </c>
      <c r="F207" s="3">
        <v>45746</v>
      </c>
      <c r="G207" t="s">
        <v>678</v>
      </c>
      <c r="H207" t="s">
        <v>13</v>
      </c>
      <c r="I207" t="s">
        <v>679</v>
      </c>
      <c r="J207">
        <v>1</v>
      </c>
      <c r="K207" t="str">
        <f t="shared" si="18"/>
        <v>Nancy Barry</v>
      </c>
      <c r="L207" t="str">
        <f t="shared" si="19"/>
        <v>Female</v>
      </c>
      <c r="M207" t="str">
        <f t="shared" si="20"/>
        <v>Katherine Espinoza</v>
      </c>
      <c r="N207" s="4" t="str">
        <f t="shared" si="21"/>
        <v>Cardiology</v>
      </c>
      <c r="O207" s="6">
        <f t="shared" si="22"/>
        <v>493.59</v>
      </c>
      <c r="P207" s="4" t="str">
        <f t="shared" si="23"/>
        <v>Yes</v>
      </c>
      <c r="Q207" s="4" t="str">
        <f>IF(OR(A207="",C207="",L207="Missing",M207="Missing",O207="0.00",K207="Missing"),"Review","OK")</f>
        <v>OK</v>
      </c>
    </row>
    <row r="208" spans="1:17" x14ac:dyDescent="0.3">
      <c r="A208">
        <v>1085</v>
      </c>
      <c r="B208" t="s">
        <v>680</v>
      </c>
      <c r="C208">
        <v>75</v>
      </c>
      <c r="D208" t="s">
        <v>56</v>
      </c>
      <c r="E208" s="3">
        <v>45967</v>
      </c>
      <c r="F208" s="3" t="s">
        <v>681</v>
      </c>
      <c r="G208" t="s">
        <v>682</v>
      </c>
      <c r="H208" t="s">
        <v>19</v>
      </c>
      <c r="J208" t="s">
        <v>21</v>
      </c>
      <c r="K208" t="str">
        <f t="shared" si="18"/>
        <v>Clinton Estrada</v>
      </c>
      <c r="L208" t="str">
        <f t="shared" si="19"/>
        <v>Male</v>
      </c>
      <c r="M208" t="str">
        <f t="shared" si="20"/>
        <v>Jacob Bender</v>
      </c>
      <c r="N208" s="4" t="str">
        <f t="shared" si="21"/>
        <v>Orthopedics</v>
      </c>
      <c r="O208" s="6" t="str">
        <f t="shared" si="22"/>
        <v>0.00</v>
      </c>
      <c r="P208" s="4" t="str">
        <f t="shared" si="23"/>
        <v>Yes</v>
      </c>
      <c r="Q208" s="4" t="str">
        <f>IF(OR(A208="",C208="",L208="Missing",M208="Missing",O208="0.00",K208="Missing"),"Review","OK")</f>
        <v>Review</v>
      </c>
    </row>
    <row r="209" spans="1:17" x14ac:dyDescent="0.3">
      <c r="A209">
        <v>1024</v>
      </c>
      <c r="B209" t="s">
        <v>683</v>
      </c>
      <c r="C209">
        <v>86</v>
      </c>
      <c r="D209">
        <v>1</v>
      </c>
      <c r="E209" s="3">
        <v>46070</v>
      </c>
      <c r="F209" s="3">
        <v>46037</v>
      </c>
      <c r="G209" t="s">
        <v>684</v>
      </c>
      <c r="H209" t="s">
        <v>19</v>
      </c>
      <c r="I209" t="s">
        <v>685</v>
      </c>
      <c r="J209" t="s">
        <v>39</v>
      </c>
      <c r="K209" t="str">
        <f t="shared" si="18"/>
        <v>Maria Douglas</v>
      </c>
      <c r="L209" t="str">
        <f t="shared" si="19"/>
        <v>Female</v>
      </c>
      <c r="M209" t="str">
        <f t="shared" si="20"/>
        <v>Daniel Evans</v>
      </c>
      <c r="N209" s="4" t="str">
        <f t="shared" si="21"/>
        <v>Orthopedics</v>
      </c>
      <c r="O209" s="6">
        <f t="shared" si="22"/>
        <v>489.64</v>
      </c>
      <c r="P209" s="4" t="str">
        <f t="shared" si="23"/>
        <v>Yes</v>
      </c>
      <c r="Q209" s="4" t="str">
        <f>IF(OR(A209="",C209="",L209="Missing",M209="Missing",O209="0.00",K209="Missing"),"Review","OK")</f>
        <v>OK</v>
      </c>
    </row>
    <row r="210" spans="1:17" x14ac:dyDescent="0.3">
      <c r="A210">
        <v>1048</v>
      </c>
      <c r="B210" t="s">
        <v>686</v>
      </c>
      <c r="C210">
        <v>33</v>
      </c>
      <c r="E210" s="3">
        <v>45926</v>
      </c>
      <c r="F210" s="3">
        <v>45538</v>
      </c>
      <c r="G210" t="s">
        <v>687</v>
      </c>
      <c r="H210" t="s">
        <v>25</v>
      </c>
      <c r="J210" t="s">
        <v>21</v>
      </c>
      <c r="K210" t="str">
        <f t="shared" si="18"/>
        <v>Walter Webb</v>
      </c>
      <c r="L210" t="str">
        <f t="shared" si="19"/>
        <v>Missing</v>
      </c>
      <c r="M210" t="str">
        <f t="shared" si="20"/>
        <v>Dale Herrera</v>
      </c>
      <c r="N210" s="4" t="str">
        <f t="shared" si="21"/>
        <v>Neurology</v>
      </c>
      <c r="O210" s="6" t="str">
        <f t="shared" si="22"/>
        <v>0.00</v>
      </c>
      <c r="P210" s="4" t="str">
        <f t="shared" si="23"/>
        <v>Yes</v>
      </c>
      <c r="Q210" s="4" t="str">
        <f>IF(OR(A210="",C210="",L210="Missing",M210="Missing",O210="0.00",K210="Missing"),"Review","OK")</f>
        <v>Review</v>
      </c>
    </row>
    <row r="211" spans="1:17" x14ac:dyDescent="0.3">
      <c r="A211">
        <v>1069</v>
      </c>
      <c r="B211" t="s">
        <v>688</v>
      </c>
      <c r="C211">
        <v>73</v>
      </c>
      <c r="D211" t="s">
        <v>16</v>
      </c>
      <c r="E211" s="3">
        <v>46235</v>
      </c>
      <c r="F211" s="3">
        <v>45517</v>
      </c>
      <c r="G211" t="s">
        <v>689</v>
      </c>
      <c r="H211" t="s">
        <v>29</v>
      </c>
      <c r="I211" t="s">
        <v>690</v>
      </c>
      <c r="J211" t="s">
        <v>39</v>
      </c>
      <c r="K211" t="str">
        <f t="shared" si="18"/>
        <v>Megan Avery</v>
      </c>
      <c r="L211" t="str">
        <f t="shared" si="19"/>
        <v>Female</v>
      </c>
      <c r="M211" t="str">
        <f t="shared" si="20"/>
        <v>Michael Arroyo Jr.</v>
      </c>
      <c r="N211" s="4" t="str">
        <f t="shared" si="21"/>
        <v>General</v>
      </c>
      <c r="O211" s="6">
        <f t="shared" si="22"/>
        <v>96.48</v>
      </c>
      <c r="P211" s="4" t="str">
        <f t="shared" si="23"/>
        <v>Yes</v>
      </c>
      <c r="Q211" s="4" t="str">
        <f>IF(OR(A211="",C211="",L211="Missing",M211="Missing",O211="0.00",K211="Missing"),"Review","OK")</f>
        <v>OK</v>
      </c>
    </row>
    <row r="212" spans="1:17" x14ac:dyDescent="0.3">
      <c r="A212">
        <v>1071</v>
      </c>
      <c r="B212" t="s">
        <v>691</v>
      </c>
      <c r="C212">
        <v>73</v>
      </c>
      <c r="D212">
        <v>1</v>
      </c>
      <c r="E212" s="3">
        <v>45964</v>
      </c>
      <c r="F212" s="3">
        <v>45408</v>
      </c>
      <c r="G212" t="s">
        <v>692</v>
      </c>
      <c r="H212" t="s">
        <v>19</v>
      </c>
      <c r="I212" t="s">
        <v>693</v>
      </c>
      <c r="J212" t="s">
        <v>21</v>
      </c>
      <c r="K212" t="str">
        <f t="shared" si="18"/>
        <v>Brianna Morris</v>
      </c>
      <c r="L212" t="str">
        <f t="shared" si="19"/>
        <v>Female</v>
      </c>
      <c r="M212" t="str">
        <f t="shared" si="20"/>
        <v>Gregory West Dds</v>
      </c>
      <c r="N212" s="4" t="str">
        <f t="shared" si="21"/>
        <v>Orthopedics</v>
      </c>
      <c r="O212" s="6">
        <f t="shared" si="22"/>
        <v>422.79</v>
      </c>
      <c r="P212" s="4" t="str">
        <f t="shared" si="23"/>
        <v>Yes</v>
      </c>
      <c r="Q212" s="4" t="str">
        <f>IF(OR(A212="",C212="",L212="Missing",M212="Missing",O212="0.00",K212="Missing"),"Review","OK")</f>
        <v>OK</v>
      </c>
    </row>
    <row r="213" spans="1:17" x14ac:dyDescent="0.3">
      <c r="A213">
        <v>1076</v>
      </c>
      <c r="B213" t="s">
        <v>694</v>
      </c>
      <c r="C213">
        <v>21</v>
      </c>
      <c r="D213" t="s">
        <v>41</v>
      </c>
      <c r="E213" s="3">
        <v>45949</v>
      </c>
      <c r="F213" s="3">
        <v>45871</v>
      </c>
      <c r="G213" t="s">
        <v>695</v>
      </c>
      <c r="H213" t="s">
        <v>19</v>
      </c>
      <c r="I213" t="s">
        <v>696</v>
      </c>
      <c r="J213" t="s">
        <v>39</v>
      </c>
      <c r="K213" t="str">
        <f t="shared" si="18"/>
        <v>Judy Avila</v>
      </c>
      <c r="L213" t="str">
        <f t="shared" si="19"/>
        <v>Female</v>
      </c>
      <c r="M213" t="str">
        <f t="shared" si="20"/>
        <v>Morgan Ramos</v>
      </c>
      <c r="N213" s="4" t="str">
        <f t="shared" si="21"/>
        <v>Orthopedics</v>
      </c>
      <c r="O213" s="6">
        <f t="shared" si="22"/>
        <v>330.43</v>
      </c>
      <c r="P213" s="4" t="str">
        <f t="shared" si="23"/>
        <v>Yes</v>
      </c>
      <c r="Q213" s="4" t="str">
        <f>IF(OR(A213="",C213="",L213="Missing",M213="Missing",O213="0.00",K213="Missing"),"Review","OK")</f>
        <v>OK</v>
      </c>
    </row>
    <row r="214" spans="1:17" x14ac:dyDescent="0.3">
      <c r="A214">
        <v>1057</v>
      </c>
      <c r="B214" t="s">
        <v>697</v>
      </c>
      <c r="C214">
        <v>28</v>
      </c>
      <c r="D214">
        <v>1</v>
      </c>
      <c r="E214" s="3">
        <v>45816</v>
      </c>
      <c r="F214" s="3">
        <v>45814</v>
      </c>
      <c r="G214" t="s">
        <v>698</v>
      </c>
      <c r="H214" t="s">
        <v>25</v>
      </c>
      <c r="I214" t="s">
        <v>699</v>
      </c>
      <c r="J214" t="s">
        <v>65</v>
      </c>
      <c r="K214" t="str">
        <f t="shared" si="18"/>
        <v>Erika Davis</v>
      </c>
      <c r="L214" t="str">
        <f t="shared" si="19"/>
        <v>Female</v>
      </c>
      <c r="M214" t="str">
        <f t="shared" si="20"/>
        <v>Allison Parker</v>
      </c>
      <c r="N214" s="4" t="str">
        <f t="shared" si="21"/>
        <v>Neurology</v>
      </c>
      <c r="O214" s="6">
        <f t="shared" si="22"/>
        <v>440.72</v>
      </c>
      <c r="P214" s="4" t="str">
        <f t="shared" si="23"/>
        <v>No</v>
      </c>
      <c r="Q214" s="4" t="str">
        <f>IF(OR(A214="",C214="",L214="Missing",M214="Missing",O214="0.00",K214="Missing"),"Review","OK")</f>
        <v>OK</v>
      </c>
    </row>
    <row r="215" spans="1:17" x14ac:dyDescent="0.3">
      <c r="A215">
        <v>1029</v>
      </c>
      <c r="B215" t="s">
        <v>700</v>
      </c>
      <c r="C215">
        <v>49</v>
      </c>
      <c r="D215" t="s">
        <v>41</v>
      </c>
      <c r="E215" s="3">
        <v>45792</v>
      </c>
      <c r="F215" s="3">
        <v>45756</v>
      </c>
      <c r="G215" t="s">
        <v>701</v>
      </c>
      <c r="H215" t="s">
        <v>25</v>
      </c>
      <c r="I215" t="s">
        <v>702</v>
      </c>
      <c r="J215" t="s">
        <v>39</v>
      </c>
      <c r="K215" t="str">
        <f t="shared" si="18"/>
        <v>Jeffrey Solis</v>
      </c>
      <c r="L215" t="str">
        <f t="shared" si="19"/>
        <v>Female</v>
      </c>
      <c r="M215" t="str">
        <f t="shared" si="20"/>
        <v>William Nichols</v>
      </c>
      <c r="N215" s="4" t="str">
        <f t="shared" si="21"/>
        <v>Neurology</v>
      </c>
      <c r="O215" s="6">
        <f t="shared" si="22"/>
        <v>287.02999999999997</v>
      </c>
      <c r="P215" s="4" t="str">
        <f t="shared" si="23"/>
        <v>Yes</v>
      </c>
      <c r="Q215" s="4" t="str">
        <f>IF(OR(A215="",C215="",L215="Missing",M215="Missing",O215="0.00",K215="Missing"),"Review","OK")</f>
        <v>OK</v>
      </c>
    </row>
    <row r="216" spans="1:17" x14ac:dyDescent="0.3">
      <c r="A216">
        <v>1049</v>
      </c>
      <c r="B216" t="s">
        <v>703</v>
      </c>
      <c r="C216">
        <v>65</v>
      </c>
      <c r="D216" t="s">
        <v>56</v>
      </c>
      <c r="E216" s="3">
        <v>46032</v>
      </c>
      <c r="F216" s="3">
        <v>46028</v>
      </c>
      <c r="G216" t="s">
        <v>704</v>
      </c>
      <c r="H216" t="s">
        <v>29</v>
      </c>
      <c r="I216" t="s">
        <v>705</v>
      </c>
      <c r="J216" t="s">
        <v>21</v>
      </c>
      <c r="K216" t="str">
        <f t="shared" si="18"/>
        <v>Scott Graves</v>
      </c>
      <c r="L216" t="str">
        <f t="shared" si="19"/>
        <v>Male</v>
      </c>
      <c r="M216" t="str">
        <f t="shared" si="20"/>
        <v>Marie Clark</v>
      </c>
      <c r="N216" s="4" t="str">
        <f t="shared" si="21"/>
        <v>General</v>
      </c>
      <c r="O216" s="6">
        <f t="shared" si="22"/>
        <v>489</v>
      </c>
      <c r="P216" s="4" t="str">
        <f t="shared" si="23"/>
        <v>Yes</v>
      </c>
      <c r="Q216" s="4" t="str">
        <f>IF(OR(A216="",C216="",L216="Missing",M216="Missing",O216="0.00",K216="Missing"),"Review","OK")</f>
        <v>OK</v>
      </c>
    </row>
    <row r="217" spans="1:17" x14ac:dyDescent="0.3">
      <c r="A217">
        <v>1049</v>
      </c>
      <c r="B217" t="s">
        <v>706</v>
      </c>
      <c r="C217">
        <v>59</v>
      </c>
      <c r="D217" t="s">
        <v>76</v>
      </c>
      <c r="E217" s="3">
        <v>45975</v>
      </c>
      <c r="F217" s="3" t="s">
        <v>707</v>
      </c>
      <c r="G217" t="s">
        <v>708</v>
      </c>
      <c r="H217" t="s">
        <v>25</v>
      </c>
      <c r="I217" t="s">
        <v>709</v>
      </c>
      <c r="J217" t="s">
        <v>31</v>
      </c>
      <c r="K217" t="str">
        <f t="shared" si="18"/>
        <v>Ellen Fitzpatrick</v>
      </c>
      <c r="L217" t="str">
        <f t="shared" si="19"/>
        <v>Male</v>
      </c>
      <c r="M217" t="str">
        <f t="shared" si="20"/>
        <v>Grant Parker</v>
      </c>
      <c r="N217" s="4" t="str">
        <f t="shared" si="21"/>
        <v>Neurology</v>
      </c>
      <c r="O217" s="6">
        <f t="shared" si="22"/>
        <v>201.19</v>
      </c>
      <c r="P217" s="4" t="str">
        <f t="shared" si="23"/>
        <v>No</v>
      </c>
      <c r="Q217" s="4" t="str">
        <f>IF(OR(A217="",C217="",L217="Missing",M217="Missing",O217="0.00",K217="Missing"),"Review","OK")</f>
        <v>OK</v>
      </c>
    </row>
    <row r="218" spans="1:17" x14ac:dyDescent="0.3">
      <c r="A218">
        <v>1076</v>
      </c>
      <c r="B218" t="s">
        <v>710</v>
      </c>
      <c r="C218">
        <v>24</v>
      </c>
      <c r="D218" t="s">
        <v>16</v>
      </c>
      <c r="E218" s="3">
        <v>45818</v>
      </c>
      <c r="F218" s="3">
        <v>45456</v>
      </c>
      <c r="G218" t="s">
        <v>711</v>
      </c>
      <c r="H218" t="s">
        <v>19</v>
      </c>
      <c r="I218" t="s">
        <v>712</v>
      </c>
      <c r="J218" t="s">
        <v>39</v>
      </c>
      <c r="K218" t="str">
        <f t="shared" si="18"/>
        <v>Mark Harrison</v>
      </c>
      <c r="L218" t="str">
        <f t="shared" si="19"/>
        <v>Female</v>
      </c>
      <c r="M218" t="str">
        <f t="shared" si="20"/>
        <v>Jennifer Hernandez</v>
      </c>
      <c r="N218" s="4" t="str">
        <f t="shared" si="21"/>
        <v>Orthopedics</v>
      </c>
      <c r="O218" s="6">
        <f t="shared" si="22"/>
        <v>155.44999999999999</v>
      </c>
      <c r="P218" s="4" t="str">
        <f t="shared" si="23"/>
        <v>Yes</v>
      </c>
      <c r="Q218" s="4" t="str">
        <f>IF(OR(A218="",C218="",L218="Missing",M218="Missing",O218="0.00",K218="Missing"),"Review","OK")</f>
        <v>OK</v>
      </c>
    </row>
    <row r="219" spans="1:17" x14ac:dyDescent="0.3">
      <c r="A219">
        <v>1083</v>
      </c>
      <c r="B219" t="s">
        <v>713</v>
      </c>
      <c r="C219">
        <v>56</v>
      </c>
      <c r="D219" t="s">
        <v>41</v>
      </c>
      <c r="E219" s="3">
        <v>45754</v>
      </c>
      <c r="F219" s="3">
        <v>45665</v>
      </c>
      <c r="G219" t="s">
        <v>714</v>
      </c>
      <c r="H219" t="s">
        <v>25</v>
      </c>
      <c r="I219" t="s">
        <v>715</v>
      </c>
      <c r="J219">
        <v>1</v>
      </c>
      <c r="K219" t="str">
        <f t="shared" si="18"/>
        <v>Daniel Barajas</v>
      </c>
      <c r="L219" t="str">
        <f t="shared" si="19"/>
        <v>Female</v>
      </c>
      <c r="M219" t="str">
        <f t="shared" si="20"/>
        <v>Joshua Burnett</v>
      </c>
      <c r="N219" s="4" t="str">
        <f t="shared" si="21"/>
        <v>Neurology</v>
      </c>
      <c r="O219" s="6">
        <f t="shared" si="22"/>
        <v>236.44</v>
      </c>
      <c r="P219" s="4" t="str">
        <f t="shared" si="23"/>
        <v>Yes</v>
      </c>
      <c r="Q219" s="4" t="str">
        <f>IF(OR(A219="",C219="",L219="Missing",M219="Missing",O219="0.00",K219="Missing"),"Review","OK")</f>
        <v>OK</v>
      </c>
    </row>
    <row r="220" spans="1:17" x14ac:dyDescent="0.3">
      <c r="A220">
        <v>1083</v>
      </c>
      <c r="B220" t="s">
        <v>716</v>
      </c>
      <c r="C220">
        <v>21</v>
      </c>
      <c r="D220">
        <v>0</v>
      </c>
      <c r="E220" s="3">
        <v>45887</v>
      </c>
      <c r="F220" s="3">
        <v>45496</v>
      </c>
      <c r="G220" t="s">
        <v>717</v>
      </c>
      <c r="H220" t="s">
        <v>13</v>
      </c>
      <c r="I220" t="s">
        <v>718</v>
      </c>
      <c r="J220">
        <v>1</v>
      </c>
      <c r="K220" t="str">
        <f t="shared" si="18"/>
        <v>Christine Murphy</v>
      </c>
      <c r="L220" t="str">
        <f t="shared" si="19"/>
        <v>Male</v>
      </c>
      <c r="M220" t="str">
        <f t="shared" si="20"/>
        <v>Amanda Mendoza</v>
      </c>
      <c r="N220" s="4" t="str">
        <f t="shared" si="21"/>
        <v>Cardiology</v>
      </c>
      <c r="O220" s="6">
        <f t="shared" si="22"/>
        <v>96.21</v>
      </c>
      <c r="P220" s="4" t="str">
        <f t="shared" si="23"/>
        <v>Yes</v>
      </c>
      <c r="Q220" s="4" t="str">
        <f>IF(OR(A220="",C220="",L220="Missing",M220="Missing",O220="0.00",K220="Missing"),"Review","OK")</f>
        <v>OK</v>
      </c>
    </row>
    <row r="221" spans="1:17" x14ac:dyDescent="0.3">
      <c r="A221">
        <v>1091</v>
      </c>
      <c r="B221" t="s">
        <v>719</v>
      </c>
      <c r="C221">
        <v>20</v>
      </c>
      <c r="D221" t="s">
        <v>23</v>
      </c>
      <c r="E221" s="3">
        <v>45997</v>
      </c>
      <c r="F221" s="3">
        <v>45986</v>
      </c>
      <c r="G221" t="s">
        <v>720</v>
      </c>
      <c r="H221" t="s">
        <v>29</v>
      </c>
      <c r="I221" t="s">
        <v>721</v>
      </c>
      <c r="J221" t="s">
        <v>39</v>
      </c>
      <c r="K221" t="str">
        <f t="shared" si="18"/>
        <v>Richard Wagner</v>
      </c>
      <c r="L221" t="str">
        <f t="shared" si="19"/>
        <v>Male</v>
      </c>
      <c r="M221" t="str">
        <f t="shared" si="20"/>
        <v>Christopher Sherman</v>
      </c>
      <c r="N221" s="4" t="str">
        <f t="shared" si="21"/>
        <v>General</v>
      </c>
      <c r="O221" s="6">
        <f t="shared" si="22"/>
        <v>270.47000000000003</v>
      </c>
      <c r="P221" s="4" t="str">
        <f t="shared" si="23"/>
        <v>Yes</v>
      </c>
      <c r="Q221" s="4" t="str">
        <f>IF(OR(A221="",C221="",L221="Missing",M221="Missing",O221="0.00",K221="Missing"),"Review","OK")</f>
        <v>OK</v>
      </c>
    </row>
    <row r="222" spans="1:17" x14ac:dyDescent="0.3">
      <c r="A222">
        <v>1099</v>
      </c>
      <c r="B222" t="s">
        <v>722</v>
      </c>
      <c r="C222">
        <v>23</v>
      </c>
      <c r="D222">
        <v>1</v>
      </c>
      <c r="E222" s="3">
        <v>45897</v>
      </c>
      <c r="F222" s="3">
        <v>45539</v>
      </c>
      <c r="G222" t="s">
        <v>723</v>
      </c>
      <c r="H222" t="s">
        <v>13</v>
      </c>
      <c r="I222" t="s">
        <v>724</v>
      </c>
      <c r="J222" t="s">
        <v>65</v>
      </c>
      <c r="K222" t="str">
        <f t="shared" si="18"/>
        <v>Eric Coffey</v>
      </c>
      <c r="L222" t="str">
        <f t="shared" si="19"/>
        <v>Female</v>
      </c>
      <c r="M222" t="str">
        <f t="shared" si="20"/>
        <v>Jeffrey Burns</v>
      </c>
      <c r="N222" s="4" t="str">
        <f t="shared" si="21"/>
        <v>Cardiology</v>
      </c>
      <c r="O222" s="6">
        <f t="shared" si="22"/>
        <v>284.29000000000002</v>
      </c>
      <c r="P222" s="4" t="str">
        <f t="shared" si="23"/>
        <v>No</v>
      </c>
      <c r="Q222" s="4" t="str">
        <f>IF(OR(A222="",C222="",L222="Missing",M222="Missing",O222="0.00",K222="Missing"),"Review","OK")</f>
        <v>OK</v>
      </c>
    </row>
    <row r="223" spans="1:17" x14ac:dyDescent="0.3">
      <c r="A223">
        <v>1098</v>
      </c>
      <c r="B223" t="s">
        <v>725</v>
      </c>
      <c r="C223">
        <v>39</v>
      </c>
      <c r="D223">
        <v>0</v>
      </c>
      <c r="E223" s="3">
        <v>45668</v>
      </c>
      <c r="F223" s="3">
        <v>45578</v>
      </c>
      <c r="G223" t="s">
        <v>726</v>
      </c>
      <c r="H223" t="s">
        <v>29</v>
      </c>
      <c r="I223" t="s">
        <v>727</v>
      </c>
      <c r="J223" t="s">
        <v>65</v>
      </c>
      <c r="K223" t="str">
        <f t="shared" si="18"/>
        <v>Tony Gibbs</v>
      </c>
      <c r="L223" t="str">
        <f t="shared" si="19"/>
        <v>Male</v>
      </c>
      <c r="M223" t="str">
        <f t="shared" si="20"/>
        <v>Brandon Morris</v>
      </c>
      <c r="N223" s="4" t="str">
        <f t="shared" si="21"/>
        <v>General</v>
      </c>
      <c r="O223" s="6">
        <f t="shared" si="22"/>
        <v>354.36</v>
      </c>
      <c r="P223" s="4" t="str">
        <f t="shared" si="23"/>
        <v>No</v>
      </c>
      <c r="Q223" s="4" t="str">
        <f>IF(OR(A223="",C223="",L223="Missing",M223="Missing",O223="0.00",K223="Missing"),"Review","OK")</f>
        <v>OK</v>
      </c>
    </row>
    <row r="224" spans="1:17" x14ac:dyDescent="0.3">
      <c r="A224">
        <v>1060</v>
      </c>
      <c r="B224" t="s">
        <v>728</v>
      </c>
      <c r="C224">
        <v>32</v>
      </c>
      <c r="E224" s="3">
        <v>46024</v>
      </c>
      <c r="F224" s="3">
        <v>45706</v>
      </c>
      <c r="G224" t="s">
        <v>729</v>
      </c>
      <c r="H224" t="s">
        <v>19</v>
      </c>
      <c r="I224" t="s">
        <v>730</v>
      </c>
      <c r="J224" t="s">
        <v>39</v>
      </c>
      <c r="K224" t="str">
        <f t="shared" si="18"/>
        <v>Stephanie Bryant</v>
      </c>
      <c r="L224" t="str">
        <f t="shared" si="19"/>
        <v>Missing</v>
      </c>
      <c r="M224" t="str">
        <f t="shared" si="20"/>
        <v>Sara Booth</v>
      </c>
      <c r="N224" s="4" t="str">
        <f t="shared" si="21"/>
        <v>Orthopedics</v>
      </c>
      <c r="O224" s="6">
        <f t="shared" si="22"/>
        <v>452.69</v>
      </c>
      <c r="P224" s="4" t="str">
        <f t="shared" si="23"/>
        <v>Yes</v>
      </c>
      <c r="Q224" s="4" t="str">
        <f>IF(OR(A224="",C224="",L224="Missing",M224="Missing",O224="0.00",K224="Missing"),"Review","OK")</f>
        <v>Review</v>
      </c>
    </row>
    <row r="225" spans="1:17" x14ac:dyDescent="0.3">
      <c r="A225">
        <v>1091</v>
      </c>
      <c r="B225" t="s">
        <v>731</v>
      </c>
      <c r="C225">
        <v>67</v>
      </c>
      <c r="D225">
        <v>1</v>
      </c>
      <c r="E225" s="3">
        <v>45870</v>
      </c>
      <c r="F225" s="3">
        <v>45786</v>
      </c>
      <c r="G225" t="s">
        <v>732</v>
      </c>
      <c r="H225" t="s">
        <v>25</v>
      </c>
      <c r="I225" t="s">
        <v>733</v>
      </c>
      <c r="J225">
        <v>0</v>
      </c>
      <c r="K225" t="str">
        <f t="shared" si="18"/>
        <v>Eric Allen</v>
      </c>
      <c r="L225" t="str">
        <f t="shared" si="19"/>
        <v>Female</v>
      </c>
      <c r="M225" t="str">
        <f t="shared" si="20"/>
        <v>Amanda Mclaughlin</v>
      </c>
      <c r="N225" s="4" t="str">
        <f t="shared" si="21"/>
        <v>Neurology</v>
      </c>
      <c r="O225" s="6">
        <f t="shared" si="22"/>
        <v>329.83</v>
      </c>
      <c r="P225" s="4" t="str">
        <f t="shared" si="23"/>
        <v>No</v>
      </c>
      <c r="Q225" s="4" t="str">
        <f>IF(OR(A225="",C225="",L225="Missing",M225="Missing",O225="0.00",K225="Missing"),"Review","OK")</f>
        <v>OK</v>
      </c>
    </row>
    <row r="226" spans="1:17" x14ac:dyDescent="0.3">
      <c r="A226">
        <v>1031</v>
      </c>
      <c r="B226" t="s">
        <v>734</v>
      </c>
      <c r="C226">
        <v>23</v>
      </c>
      <c r="D226" t="s">
        <v>56</v>
      </c>
      <c r="E226" s="3">
        <v>46087</v>
      </c>
      <c r="F226" s="3">
        <v>45493</v>
      </c>
      <c r="G226" t="s">
        <v>735</v>
      </c>
      <c r="H226" t="s">
        <v>13</v>
      </c>
      <c r="I226" t="s">
        <v>736</v>
      </c>
      <c r="J226" t="s">
        <v>39</v>
      </c>
      <c r="K226" t="str">
        <f t="shared" si="18"/>
        <v>Robert Jimenez</v>
      </c>
      <c r="L226" t="str">
        <f t="shared" si="19"/>
        <v>Male</v>
      </c>
      <c r="M226" t="str">
        <f t="shared" si="20"/>
        <v>Tony Randall</v>
      </c>
      <c r="N226" s="4" t="str">
        <f t="shared" si="21"/>
        <v>Cardiology</v>
      </c>
      <c r="O226" s="6">
        <f t="shared" si="22"/>
        <v>450.86</v>
      </c>
      <c r="P226" s="4" t="str">
        <f t="shared" si="23"/>
        <v>Yes</v>
      </c>
      <c r="Q226" s="4" t="str">
        <f>IF(OR(A226="",C226="",L226="Missing",M226="Missing",O226="0.00",K226="Missing"),"Review","OK")</f>
        <v>OK</v>
      </c>
    </row>
    <row r="227" spans="1:17" x14ac:dyDescent="0.3">
      <c r="A227">
        <v>1018</v>
      </c>
      <c r="B227" t="s">
        <v>737</v>
      </c>
      <c r="C227">
        <v>71</v>
      </c>
      <c r="D227" t="s">
        <v>23</v>
      </c>
      <c r="E227" s="3">
        <v>45794</v>
      </c>
      <c r="F227" s="3">
        <v>45651</v>
      </c>
      <c r="G227" t="s">
        <v>738</v>
      </c>
      <c r="H227" t="s">
        <v>25</v>
      </c>
      <c r="I227" t="s">
        <v>739</v>
      </c>
      <c r="J227" t="s">
        <v>39</v>
      </c>
      <c r="K227" t="str">
        <f t="shared" si="18"/>
        <v>Chris Wells</v>
      </c>
      <c r="L227" t="str">
        <f t="shared" si="19"/>
        <v>Male</v>
      </c>
      <c r="M227" t="str">
        <f t="shared" si="20"/>
        <v>Crystal Medina</v>
      </c>
      <c r="N227" s="4" t="str">
        <f t="shared" si="21"/>
        <v>Neurology</v>
      </c>
      <c r="O227" s="6">
        <f t="shared" si="22"/>
        <v>132.38</v>
      </c>
      <c r="P227" s="4" t="str">
        <f t="shared" si="23"/>
        <v>Yes</v>
      </c>
      <c r="Q227" s="4" t="str">
        <f>IF(OR(A227="",C227="",L227="Missing",M227="Missing",O227="0.00",K227="Missing"),"Review","OK")</f>
        <v>OK</v>
      </c>
    </row>
    <row r="228" spans="1:17" x14ac:dyDescent="0.3">
      <c r="A228">
        <v>1054</v>
      </c>
      <c r="B228" t="s">
        <v>740</v>
      </c>
      <c r="C228">
        <v>68</v>
      </c>
      <c r="D228" t="s">
        <v>56</v>
      </c>
      <c r="E228" s="3">
        <v>45761</v>
      </c>
      <c r="F228" s="3">
        <v>45701</v>
      </c>
      <c r="G228" t="s">
        <v>741</v>
      </c>
      <c r="H228" t="s">
        <v>29</v>
      </c>
      <c r="I228" t="s">
        <v>742</v>
      </c>
      <c r="J228">
        <v>0</v>
      </c>
      <c r="K228" t="str">
        <f t="shared" si="18"/>
        <v>Danny Gray</v>
      </c>
      <c r="L228" t="str">
        <f t="shared" si="19"/>
        <v>Male</v>
      </c>
      <c r="M228" t="str">
        <f t="shared" si="20"/>
        <v>Patricia Carpenter</v>
      </c>
      <c r="N228" s="4" t="str">
        <f t="shared" si="21"/>
        <v>General</v>
      </c>
      <c r="O228" s="6">
        <f t="shared" si="22"/>
        <v>199.55</v>
      </c>
      <c r="P228" s="4" t="str">
        <f t="shared" si="23"/>
        <v>No</v>
      </c>
      <c r="Q228" s="4" t="str">
        <f>IF(OR(A228="",C228="",L228="Missing",M228="Missing",O228="0.00",K228="Missing"),"Review","OK")</f>
        <v>OK</v>
      </c>
    </row>
    <row r="229" spans="1:17" x14ac:dyDescent="0.3">
      <c r="A229">
        <v>1038</v>
      </c>
      <c r="B229" t="s">
        <v>743</v>
      </c>
      <c r="C229">
        <v>19</v>
      </c>
      <c r="D229">
        <v>1</v>
      </c>
      <c r="E229" s="3">
        <v>45747</v>
      </c>
      <c r="F229" s="3">
        <v>45592</v>
      </c>
      <c r="G229" t="s">
        <v>744</v>
      </c>
      <c r="H229" t="s">
        <v>13</v>
      </c>
      <c r="I229" t="s">
        <v>745</v>
      </c>
      <c r="J229" t="s">
        <v>65</v>
      </c>
      <c r="K229" t="str">
        <f t="shared" si="18"/>
        <v>Alicia Davis</v>
      </c>
      <c r="L229" t="str">
        <f t="shared" si="19"/>
        <v>Female</v>
      </c>
      <c r="M229" t="str">
        <f t="shared" si="20"/>
        <v>John Gonzalez</v>
      </c>
      <c r="N229" s="4" t="str">
        <f t="shared" si="21"/>
        <v>Cardiology</v>
      </c>
      <c r="O229" s="6">
        <f t="shared" si="22"/>
        <v>296.7</v>
      </c>
      <c r="P229" s="4" t="str">
        <f t="shared" si="23"/>
        <v>No</v>
      </c>
      <c r="Q229" s="4" t="str">
        <f>IF(OR(A229="",C229="",L229="Missing",M229="Missing",O229="0.00",K229="Missing"),"Review","OK")</f>
        <v>OK</v>
      </c>
    </row>
    <row r="230" spans="1:17" x14ac:dyDescent="0.3">
      <c r="A230">
        <v>1067</v>
      </c>
      <c r="B230" t="s">
        <v>746</v>
      </c>
      <c r="C230">
        <v>33</v>
      </c>
      <c r="D230">
        <v>0</v>
      </c>
      <c r="E230" s="3">
        <v>46020</v>
      </c>
      <c r="F230" s="3">
        <v>45441</v>
      </c>
      <c r="G230" t="s">
        <v>747</v>
      </c>
      <c r="H230" t="s">
        <v>29</v>
      </c>
      <c r="I230" t="s">
        <v>748</v>
      </c>
      <c r="J230" t="s">
        <v>31</v>
      </c>
      <c r="K230" t="str">
        <f t="shared" si="18"/>
        <v>Dr. John Hernandez</v>
      </c>
      <c r="L230" t="str">
        <f t="shared" si="19"/>
        <v>Male</v>
      </c>
      <c r="M230" t="str">
        <f t="shared" si="20"/>
        <v>Michelle Austin</v>
      </c>
      <c r="N230" s="4" t="str">
        <f t="shared" si="21"/>
        <v>General</v>
      </c>
      <c r="O230" s="6">
        <f t="shared" si="22"/>
        <v>409.96</v>
      </c>
      <c r="P230" s="4" t="str">
        <f t="shared" si="23"/>
        <v>No</v>
      </c>
      <c r="Q230" s="4" t="str">
        <f>IF(OR(A230="",C230="",L230="Missing",M230="Missing",O230="0.00",K230="Missing"),"Review","OK")</f>
        <v>OK</v>
      </c>
    </row>
    <row r="231" spans="1:17" x14ac:dyDescent="0.3">
      <c r="A231">
        <v>1070</v>
      </c>
      <c r="B231" t="s">
        <v>749</v>
      </c>
      <c r="C231">
        <v>54</v>
      </c>
      <c r="D231" t="s">
        <v>23</v>
      </c>
      <c r="E231" s="3">
        <v>45831</v>
      </c>
      <c r="F231" s="3">
        <v>45528</v>
      </c>
      <c r="G231" t="s">
        <v>750</v>
      </c>
      <c r="H231" t="s">
        <v>25</v>
      </c>
      <c r="I231" t="s">
        <v>751</v>
      </c>
      <c r="J231">
        <v>0</v>
      </c>
      <c r="K231" t="str">
        <f t="shared" si="18"/>
        <v>Andres Mills</v>
      </c>
      <c r="L231" t="str">
        <f t="shared" si="19"/>
        <v>Male</v>
      </c>
      <c r="M231" t="str">
        <f t="shared" si="20"/>
        <v>Paul Weaver</v>
      </c>
      <c r="N231" s="4" t="str">
        <f t="shared" si="21"/>
        <v>Neurology</v>
      </c>
      <c r="O231" s="6">
        <f t="shared" si="22"/>
        <v>386.53</v>
      </c>
      <c r="P231" s="4" t="str">
        <f t="shared" si="23"/>
        <v>No</v>
      </c>
      <c r="Q231" s="4" t="str">
        <f>IF(OR(A231="",C231="",L231="Missing",M231="Missing",O231="0.00",K231="Missing"),"Review","OK")</f>
        <v>OK</v>
      </c>
    </row>
    <row r="232" spans="1:17" x14ac:dyDescent="0.3">
      <c r="A232">
        <v>1097</v>
      </c>
      <c r="B232" t="s">
        <v>752</v>
      </c>
      <c r="C232">
        <v>52</v>
      </c>
      <c r="D232" t="s">
        <v>76</v>
      </c>
      <c r="E232" s="3">
        <v>46031</v>
      </c>
      <c r="F232" s="3">
        <v>45816</v>
      </c>
      <c r="G232" t="s">
        <v>753</v>
      </c>
      <c r="H232" t="s">
        <v>25</v>
      </c>
      <c r="I232" t="s">
        <v>754</v>
      </c>
      <c r="J232" t="s">
        <v>39</v>
      </c>
      <c r="K232" t="str">
        <f t="shared" si="18"/>
        <v>Vanessa Allen</v>
      </c>
      <c r="L232" t="str">
        <f t="shared" si="19"/>
        <v>Male</v>
      </c>
      <c r="M232" t="str">
        <f t="shared" si="20"/>
        <v>Amy Chavez</v>
      </c>
      <c r="N232" s="4" t="str">
        <f t="shared" si="21"/>
        <v>Neurology</v>
      </c>
      <c r="O232" s="6">
        <f t="shared" si="22"/>
        <v>243.94</v>
      </c>
      <c r="P232" s="4" t="str">
        <f t="shared" si="23"/>
        <v>Yes</v>
      </c>
      <c r="Q232" s="4" t="str">
        <f>IF(OR(A232="",C232="",L232="Missing",M232="Missing",O232="0.00",K232="Missing"),"Review","OK")</f>
        <v>OK</v>
      </c>
    </row>
    <row r="233" spans="1:17" x14ac:dyDescent="0.3">
      <c r="A233">
        <v>1056</v>
      </c>
      <c r="B233" t="s">
        <v>755</v>
      </c>
      <c r="C233">
        <v>70</v>
      </c>
      <c r="D233" t="s">
        <v>41</v>
      </c>
      <c r="E233" s="3" t="s">
        <v>756</v>
      </c>
      <c r="F233" s="3">
        <v>45882</v>
      </c>
      <c r="G233" t="s">
        <v>757</v>
      </c>
      <c r="H233" t="s">
        <v>29</v>
      </c>
      <c r="I233" t="s">
        <v>758</v>
      </c>
      <c r="J233" t="s">
        <v>21</v>
      </c>
      <c r="K233" t="str">
        <f t="shared" si="18"/>
        <v>Virginia Flores</v>
      </c>
      <c r="L233" t="str">
        <f t="shared" si="19"/>
        <v>Female</v>
      </c>
      <c r="M233" t="str">
        <f t="shared" si="20"/>
        <v>Leonard Macias</v>
      </c>
      <c r="N233" s="4" t="str">
        <f t="shared" si="21"/>
        <v>General</v>
      </c>
      <c r="O233" s="6">
        <f t="shared" si="22"/>
        <v>364.83</v>
      </c>
      <c r="P233" s="4" t="str">
        <f t="shared" si="23"/>
        <v>Yes</v>
      </c>
      <c r="Q233" s="4" t="str">
        <f>IF(OR(A233="",C233="",L233="Missing",M233="Missing",O233="0.00",K233="Missing"),"Review","OK")</f>
        <v>OK</v>
      </c>
    </row>
    <row r="234" spans="1:17" x14ac:dyDescent="0.3">
      <c r="A234">
        <v>1078</v>
      </c>
      <c r="B234" t="s">
        <v>759</v>
      </c>
      <c r="C234">
        <v>56</v>
      </c>
      <c r="D234" t="s">
        <v>11</v>
      </c>
      <c r="E234" s="3">
        <v>45743</v>
      </c>
      <c r="F234" s="3">
        <v>45432</v>
      </c>
      <c r="G234" t="s">
        <v>760</v>
      </c>
      <c r="H234" t="s">
        <v>19</v>
      </c>
      <c r="I234" t="s">
        <v>761</v>
      </c>
      <c r="J234">
        <v>1</v>
      </c>
      <c r="K234" t="str">
        <f t="shared" si="18"/>
        <v>Mackenzie Walker</v>
      </c>
      <c r="L234" t="str">
        <f t="shared" si="19"/>
        <v>Female</v>
      </c>
      <c r="M234" t="str">
        <f t="shared" si="20"/>
        <v>Jenny Wright</v>
      </c>
      <c r="N234" s="4" t="str">
        <f t="shared" si="21"/>
        <v>Orthopedics</v>
      </c>
      <c r="O234" s="6">
        <f t="shared" si="22"/>
        <v>335.95</v>
      </c>
      <c r="P234" s="4" t="str">
        <f t="shared" si="23"/>
        <v>Yes</v>
      </c>
      <c r="Q234" s="4" t="str">
        <f>IF(OR(A234="",C234="",L234="Missing",M234="Missing",O234="0.00",K234="Missing"),"Review","OK")</f>
        <v>OK</v>
      </c>
    </row>
    <row r="235" spans="1:17" x14ac:dyDescent="0.3">
      <c r="A235">
        <v>1031</v>
      </c>
      <c r="B235" t="s">
        <v>762</v>
      </c>
      <c r="C235">
        <v>29</v>
      </c>
      <c r="D235" t="s">
        <v>41</v>
      </c>
      <c r="E235" s="3">
        <v>45874</v>
      </c>
      <c r="F235" s="3">
        <v>45562</v>
      </c>
      <c r="G235" t="s">
        <v>763</v>
      </c>
      <c r="H235" t="s">
        <v>19</v>
      </c>
      <c r="J235" t="s">
        <v>21</v>
      </c>
      <c r="K235" t="str">
        <f t="shared" si="18"/>
        <v>Kayla Berger</v>
      </c>
      <c r="L235" t="str">
        <f t="shared" si="19"/>
        <v>Female</v>
      </c>
      <c r="M235" t="str">
        <f t="shared" si="20"/>
        <v>Todd Oconnor</v>
      </c>
      <c r="N235" s="4" t="str">
        <f t="shared" si="21"/>
        <v>Orthopedics</v>
      </c>
      <c r="O235" s="6" t="str">
        <f t="shared" si="22"/>
        <v>0.00</v>
      </c>
      <c r="P235" s="4" t="str">
        <f t="shared" si="23"/>
        <v>Yes</v>
      </c>
      <c r="Q235" s="4" t="str">
        <f>IF(OR(A235="",C235="",L235="Missing",M235="Missing",O235="0.00",K235="Missing"),"Review","OK")</f>
        <v>Review</v>
      </c>
    </row>
    <row r="236" spans="1:17" x14ac:dyDescent="0.3">
      <c r="A236">
        <v>1035</v>
      </c>
      <c r="B236" t="s">
        <v>764</v>
      </c>
      <c r="C236">
        <v>80</v>
      </c>
      <c r="D236" t="s">
        <v>56</v>
      </c>
      <c r="E236" s="3">
        <v>45872</v>
      </c>
      <c r="F236" s="3">
        <v>45750</v>
      </c>
      <c r="G236" t="s">
        <v>765</v>
      </c>
      <c r="H236" t="s">
        <v>25</v>
      </c>
      <c r="I236" t="s">
        <v>766</v>
      </c>
      <c r="J236" t="s">
        <v>39</v>
      </c>
      <c r="K236" t="str">
        <f t="shared" si="18"/>
        <v>Brian White</v>
      </c>
      <c r="L236" t="str">
        <f t="shared" si="19"/>
        <v>Male</v>
      </c>
      <c r="M236" t="str">
        <f t="shared" si="20"/>
        <v>Rachel Howell</v>
      </c>
      <c r="N236" s="4" t="str">
        <f t="shared" si="21"/>
        <v>Neurology</v>
      </c>
      <c r="O236" s="6">
        <f t="shared" si="22"/>
        <v>387.58</v>
      </c>
      <c r="P236" s="4" t="str">
        <f t="shared" si="23"/>
        <v>Yes</v>
      </c>
      <c r="Q236" s="4" t="str">
        <f>IF(OR(A236="",C236="",L236="Missing",M236="Missing",O236="0.00",K236="Missing"),"Review","OK")</f>
        <v>OK</v>
      </c>
    </row>
    <row r="237" spans="1:17" x14ac:dyDescent="0.3">
      <c r="A237">
        <v>1079</v>
      </c>
      <c r="B237" t="s">
        <v>767</v>
      </c>
      <c r="C237">
        <v>24</v>
      </c>
      <c r="D237" t="s">
        <v>23</v>
      </c>
      <c r="E237" s="3" t="s">
        <v>768</v>
      </c>
      <c r="F237" s="3" t="s">
        <v>769</v>
      </c>
      <c r="G237" t="s">
        <v>770</v>
      </c>
      <c r="H237" t="s">
        <v>13</v>
      </c>
      <c r="I237" t="s">
        <v>771</v>
      </c>
      <c r="J237" t="s">
        <v>65</v>
      </c>
      <c r="K237" t="str">
        <f t="shared" si="18"/>
        <v>Dale Fisher</v>
      </c>
      <c r="L237" t="str">
        <f t="shared" si="19"/>
        <v>Male</v>
      </c>
      <c r="M237" t="str">
        <f t="shared" si="20"/>
        <v>Dr. Heidi Johnson</v>
      </c>
      <c r="N237" s="4" t="str">
        <f t="shared" si="21"/>
        <v>Cardiology</v>
      </c>
      <c r="O237" s="6">
        <f t="shared" si="22"/>
        <v>360.39</v>
      </c>
      <c r="P237" s="4" t="str">
        <f t="shared" si="23"/>
        <v>No</v>
      </c>
      <c r="Q237" s="4" t="str">
        <f>IF(OR(A237="",C237="",L237="Missing",M237="Missing",O237="0.00",K237="Missing"),"Review","OK")</f>
        <v>OK</v>
      </c>
    </row>
    <row r="238" spans="1:17" x14ac:dyDescent="0.3">
      <c r="A238">
        <v>1062</v>
      </c>
      <c r="B238" t="s">
        <v>772</v>
      </c>
      <c r="C238">
        <v>20</v>
      </c>
      <c r="D238" t="s">
        <v>23</v>
      </c>
      <c r="E238" s="3">
        <v>45823</v>
      </c>
      <c r="F238" s="3">
        <v>45965</v>
      </c>
      <c r="G238" t="s">
        <v>773</v>
      </c>
      <c r="H238" t="s">
        <v>13</v>
      </c>
      <c r="I238" t="s">
        <v>774</v>
      </c>
      <c r="J238">
        <v>1</v>
      </c>
      <c r="K238" t="str">
        <f t="shared" si="18"/>
        <v>Brian Griffith</v>
      </c>
      <c r="L238" t="str">
        <f t="shared" si="19"/>
        <v>Male</v>
      </c>
      <c r="M238" t="str">
        <f t="shared" si="20"/>
        <v>Robert Stanley</v>
      </c>
      <c r="N238" s="4" t="str">
        <f t="shared" si="21"/>
        <v>Cardiology</v>
      </c>
      <c r="O238" s="6">
        <f t="shared" si="22"/>
        <v>288.24</v>
      </c>
      <c r="P238" s="4" t="str">
        <f t="shared" si="23"/>
        <v>Yes</v>
      </c>
      <c r="Q238" s="4" t="str">
        <f>IF(OR(A238="",C238="",L238="Missing",M238="Missing",O238="0.00",K238="Missing"),"Review","OK")</f>
        <v>OK</v>
      </c>
    </row>
    <row r="239" spans="1:17" x14ac:dyDescent="0.3">
      <c r="A239">
        <v>1006</v>
      </c>
      <c r="B239" t="s">
        <v>775</v>
      </c>
      <c r="C239">
        <v>56</v>
      </c>
      <c r="D239">
        <v>0</v>
      </c>
      <c r="E239" s="3">
        <v>46056</v>
      </c>
      <c r="F239" s="3" t="s">
        <v>776</v>
      </c>
      <c r="G239" t="s">
        <v>777</v>
      </c>
      <c r="H239" t="s">
        <v>29</v>
      </c>
      <c r="I239" t="s">
        <v>778</v>
      </c>
      <c r="J239">
        <v>1</v>
      </c>
      <c r="K239" t="str">
        <f t="shared" si="18"/>
        <v>Theresa Sanchez</v>
      </c>
      <c r="L239" t="str">
        <f t="shared" si="19"/>
        <v>Male</v>
      </c>
      <c r="M239" t="str">
        <f t="shared" si="20"/>
        <v>Amber Sullivan</v>
      </c>
      <c r="N239" s="4" t="str">
        <f t="shared" si="21"/>
        <v>General</v>
      </c>
      <c r="O239" s="6">
        <f t="shared" si="22"/>
        <v>286.43</v>
      </c>
      <c r="P239" s="4" t="str">
        <f t="shared" si="23"/>
        <v>Yes</v>
      </c>
      <c r="Q239" s="4" t="str">
        <f>IF(OR(A239="",C239="",L239="Missing",M239="Missing",O239="0.00",K239="Missing"),"Review","OK")</f>
        <v>OK</v>
      </c>
    </row>
    <row r="240" spans="1:17" x14ac:dyDescent="0.3">
      <c r="A240">
        <v>1034</v>
      </c>
      <c r="B240" t="s">
        <v>779</v>
      </c>
      <c r="C240">
        <v>60</v>
      </c>
      <c r="D240" t="s">
        <v>11</v>
      </c>
      <c r="E240" s="3">
        <v>46327</v>
      </c>
      <c r="F240" s="3">
        <v>45863</v>
      </c>
      <c r="G240" t="s">
        <v>780</v>
      </c>
      <c r="H240" t="s">
        <v>25</v>
      </c>
      <c r="J240">
        <v>0</v>
      </c>
      <c r="K240" t="str">
        <f t="shared" si="18"/>
        <v>Kimberly Watson</v>
      </c>
      <c r="L240" t="str">
        <f t="shared" si="19"/>
        <v>Female</v>
      </c>
      <c r="M240" t="str">
        <f t="shared" si="20"/>
        <v>Joseph Meyers</v>
      </c>
      <c r="N240" s="4" t="str">
        <f t="shared" si="21"/>
        <v>Neurology</v>
      </c>
      <c r="O240" s="6" t="str">
        <f t="shared" si="22"/>
        <v>0.00</v>
      </c>
      <c r="P240" s="4" t="str">
        <f t="shared" si="23"/>
        <v>No</v>
      </c>
      <c r="Q240" s="4" t="str">
        <f>IF(OR(A240="",C240="",L240="Missing",M240="Missing",O240="0.00",K240="Missing"),"Review","OK")</f>
        <v>Review</v>
      </c>
    </row>
    <row r="241" spans="1:17" x14ac:dyDescent="0.3">
      <c r="A241">
        <v>1021</v>
      </c>
      <c r="B241" t="s">
        <v>781</v>
      </c>
      <c r="C241">
        <v>51</v>
      </c>
      <c r="D241" t="s">
        <v>56</v>
      </c>
      <c r="E241" s="3">
        <v>46018</v>
      </c>
      <c r="F241" s="3">
        <v>45962</v>
      </c>
      <c r="G241" t="s">
        <v>782</v>
      </c>
      <c r="H241" t="s">
        <v>29</v>
      </c>
      <c r="I241" t="s">
        <v>783</v>
      </c>
      <c r="J241" t="s">
        <v>65</v>
      </c>
      <c r="K241" t="str">
        <f t="shared" si="18"/>
        <v>Christopher Miller</v>
      </c>
      <c r="L241" t="str">
        <f t="shared" si="19"/>
        <v>Male</v>
      </c>
      <c r="M241" t="str">
        <f t="shared" si="20"/>
        <v>Christine Arnold</v>
      </c>
      <c r="N241" s="4" t="str">
        <f t="shared" si="21"/>
        <v>General</v>
      </c>
      <c r="O241" s="6">
        <f t="shared" si="22"/>
        <v>476.26</v>
      </c>
      <c r="P241" s="4" t="str">
        <f t="shared" si="23"/>
        <v>No</v>
      </c>
      <c r="Q241" s="4" t="str">
        <f>IF(OR(A241="",C241="",L241="Missing",M241="Missing",O241="0.00",K241="Missing"),"Review","OK")</f>
        <v>OK</v>
      </c>
    </row>
    <row r="242" spans="1:17" x14ac:dyDescent="0.3">
      <c r="A242">
        <v>1089</v>
      </c>
      <c r="B242" t="s">
        <v>784</v>
      </c>
      <c r="C242">
        <v>72</v>
      </c>
      <c r="D242" t="s">
        <v>11</v>
      </c>
      <c r="E242" s="3">
        <v>46017</v>
      </c>
      <c r="F242" s="3">
        <v>45509</v>
      </c>
      <c r="G242" t="s">
        <v>785</v>
      </c>
      <c r="H242" t="s">
        <v>25</v>
      </c>
      <c r="I242" t="s">
        <v>786</v>
      </c>
      <c r="J242" t="s">
        <v>39</v>
      </c>
      <c r="K242" t="str">
        <f t="shared" si="18"/>
        <v>Brian Davis</v>
      </c>
      <c r="L242" t="str">
        <f t="shared" si="19"/>
        <v>Female</v>
      </c>
      <c r="M242" t="str">
        <f t="shared" si="20"/>
        <v>Michelle Smith</v>
      </c>
      <c r="N242" s="4" t="str">
        <f t="shared" si="21"/>
        <v>Neurology</v>
      </c>
      <c r="O242" s="6">
        <f t="shared" si="22"/>
        <v>480.75</v>
      </c>
      <c r="P242" s="4" t="str">
        <f t="shared" si="23"/>
        <v>Yes</v>
      </c>
      <c r="Q242" s="4" t="str">
        <f>IF(OR(A242="",C242="",L242="Missing",M242="Missing",O242="0.00",K242="Missing"),"Review","OK")</f>
        <v>OK</v>
      </c>
    </row>
    <row r="243" spans="1:17" x14ac:dyDescent="0.3">
      <c r="A243">
        <v>1054</v>
      </c>
      <c r="B243" t="s">
        <v>787</v>
      </c>
      <c r="C243">
        <v>74</v>
      </c>
      <c r="D243">
        <v>0</v>
      </c>
      <c r="E243" s="3">
        <v>46068</v>
      </c>
      <c r="F243" s="3">
        <v>45807</v>
      </c>
      <c r="G243" t="s">
        <v>788</v>
      </c>
      <c r="H243" t="s">
        <v>25</v>
      </c>
      <c r="I243" t="s">
        <v>789</v>
      </c>
      <c r="J243">
        <v>0</v>
      </c>
      <c r="K243" t="str">
        <f t="shared" si="18"/>
        <v>Deborah Wagner</v>
      </c>
      <c r="L243" t="str">
        <f t="shared" si="19"/>
        <v>Male</v>
      </c>
      <c r="M243" t="str">
        <f t="shared" si="20"/>
        <v>Cesar Sanchez</v>
      </c>
      <c r="N243" s="4" t="str">
        <f t="shared" si="21"/>
        <v>Neurology</v>
      </c>
      <c r="O243" s="6">
        <f t="shared" si="22"/>
        <v>277.60000000000002</v>
      </c>
      <c r="P243" s="4" t="str">
        <f t="shared" si="23"/>
        <v>No</v>
      </c>
      <c r="Q243" s="4" t="str">
        <f>IF(OR(A243="",C243="",L243="Missing",M243="Missing",O243="0.00",K243="Missing"),"Review","OK")</f>
        <v>OK</v>
      </c>
    </row>
    <row r="244" spans="1:17" x14ac:dyDescent="0.3">
      <c r="A244">
        <v>1026</v>
      </c>
      <c r="B244" t="s">
        <v>790</v>
      </c>
      <c r="C244">
        <v>80</v>
      </c>
      <c r="D244" t="s">
        <v>76</v>
      </c>
      <c r="E244" s="3">
        <v>45774</v>
      </c>
      <c r="F244" s="3" t="s">
        <v>791</v>
      </c>
      <c r="G244" t="s">
        <v>792</v>
      </c>
      <c r="H244" t="s">
        <v>29</v>
      </c>
      <c r="I244" t="s">
        <v>793</v>
      </c>
      <c r="J244" t="s">
        <v>21</v>
      </c>
      <c r="K244" t="str">
        <f t="shared" si="18"/>
        <v>Christine Vega</v>
      </c>
      <c r="L244" t="str">
        <f t="shared" si="19"/>
        <v>Male</v>
      </c>
      <c r="M244" t="str">
        <f t="shared" si="20"/>
        <v>Jordan Cole</v>
      </c>
      <c r="N244" s="4" t="str">
        <f t="shared" si="21"/>
        <v>General</v>
      </c>
      <c r="O244" s="6">
        <f t="shared" si="22"/>
        <v>301.11</v>
      </c>
      <c r="P244" s="4" t="str">
        <f t="shared" si="23"/>
        <v>Yes</v>
      </c>
      <c r="Q244" s="4" t="str">
        <f>IF(OR(A244="",C244="",L244="Missing",M244="Missing",O244="0.00",K244="Missing"),"Review","OK")</f>
        <v>OK</v>
      </c>
    </row>
    <row r="245" spans="1:17" x14ac:dyDescent="0.3">
      <c r="A245">
        <v>1015</v>
      </c>
      <c r="B245" t="s">
        <v>794</v>
      </c>
      <c r="C245">
        <v>53</v>
      </c>
      <c r="D245">
        <v>0</v>
      </c>
      <c r="E245" s="3">
        <v>45726</v>
      </c>
      <c r="F245" s="3">
        <v>45839</v>
      </c>
      <c r="G245" t="s">
        <v>795</v>
      </c>
      <c r="H245" t="s">
        <v>19</v>
      </c>
      <c r="I245" t="s">
        <v>796</v>
      </c>
      <c r="J245">
        <v>0</v>
      </c>
      <c r="K245" t="str">
        <f t="shared" si="18"/>
        <v>Zachary Jones</v>
      </c>
      <c r="L245" t="str">
        <f t="shared" si="19"/>
        <v>Male</v>
      </c>
      <c r="M245" t="str">
        <f t="shared" si="20"/>
        <v>Alexander Lee</v>
      </c>
      <c r="N245" s="4" t="str">
        <f t="shared" si="21"/>
        <v>Orthopedics</v>
      </c>
      <c r="O245" s="6">
        <f t="shared" si="22"/>
        <v>304.51</v>
      </c>
      <c r="P245" s="4" t="str">
        <f t="shared" si="23"/>
        <v>No</v>
      </c>
      <c r="Q245" s="4" t="str">
        <f>IF(OR(A245="",C245="",L245="Missing",M245="Missing",O245="0.00",K245="Missing"),"Review","OK")</f>
        <v>OK</v>
      </c>
    </row>
    <row r="246" spans="1:17" x14ac:dyDescent="0.3">
      <c r="A246">
        <v>1015</v>
      </c>
      <c r="B246" t="s">
        <v>797</v>
      </c>
      <c r="C246">
        <v>88</v>
      </c>
      <c r="E246" s="3" t="s">
        <v>798</v>
      </c>
      <c r="F246" s="3">
        <v>45783</v>
      </c>
      <c r="G246" t="s">
        <v>799</v>
      </c>
      <c r="H246" t="s">
        <v>19</v>
      </c>
      <c r="I246" t="s">
        <v>800</v>
      </c>
      <c r="J246">
        <v>1</v>
      </c>
      <c r="K246" t="str">
        <f t="shared" si="18"/>
        <v>Stephen Hicks</v>
      </c>
      <c r="L246" t="str">
        <f t="shared" si="19"/>
        <v>Missing</v>
      </c>
      <c r="M246" t="str">
        <f t="shared" si="20"/>
        <v>Christopher Underwood</v>
      </c>
      <c r="N246" s="4" t="str">
        <f t="shared" si="21"/>
        <v>Orthopedics</v>
      </c>
      <c r="O246" s="6">
        <f t="shared" si="22"/>
        <v>266.52999999999997</v>
      </c>
      <c r="P246" s="4" t="str">
        <f t="shared" si="23"/>
        <v>Yes</v>
      </c>
      <c r="Q246" s="4" t="str">
        <f>IF(OR(A246="",C246="",L246="Missing",M246="Missing",O246="0.00",K246="Missing"),"Review","OK")</f>
        <v>Review</v>
      </c>
    </row>
    <row r="247" spans="1:17" x14ac:dyDescent="0.3">
      <c r="A247">
        <v>1060</v>
      </c>
      <c r="B247" t="s">
        <v>801</v>
      </c>
      <c r="C247">
        <v>51</v>
      </c>
      <c r="D247" t="s">
        <v>11</v>
      </c>
      <c r="E247" s="3">
        <v>45844</v>
      </c>
      <c r="F247" s="3" t="s">
        <v>802</v>
      </c>
      <c r="G247" t="s">
        <v>803</v>
      </c>
      <c r="H247" t="s">
        <v>29</v>
      </c>
      <c r="I247" t="s">
        <v>804</v>
      </c>
      <c r="J247" t="s">
        <v>21</v>
      </c>
      <c r="K247" t="str">
        <f t="shared" si="18"/>
        <v>Haley Taylor</v>
      </c>
      <c r="L247" t="str">
        <f t="shared" si="19"/>
        <v>Female</v>
      </c>
      <c r="M247" t="str">
        <f t="shared" si="20"/>
        <v>Christopher Wolfe</v>
      </c>
      <c r="N247" s="4" t="str">
        <f t="shared" si="21"/>
        <v>General</v>
      </c>
      <c r="O247" s="6">
        <f t="shared" si="22"/>
        <v>433.55</v>
      </c>
      <c r="P247" s="4" t="str">
        <f t="shared" si="23"/>
        <v>Yes</v>
      </c>
      <c r="Q247" s="4" t="str">
        <f>IF(OR(A247="",C247="",L247="Missing",M247="Missing",O247="0.00",K247="Missing"),"Review","OK")</f>
        <v>OK</v>
      </c>
    </row>
    <row r="248" spans="1:17" x14ac:dyDescent="0.3">
      <c r="A248">
        <v>1003</v>
      </c>
      <c r="B248" t="s">
        <v>805</v>
      </c>
      <c r="C248">
        <v>77</v>
      </c>
      <c r="D248" t="s">
        <v>76</v>
      </c>
      <c r="E248" s="3">
        <v>45811</v>
      </c>
      <c r="F248" s="3">
        <v>45430</v>
      </c>
      <c r="G248" t="s">
        <v>806</v>
      </c>
      <c r="H248" t="s">
        <v>19</v>
      </c>
      <c r="I248" t="s">
        <v>807</v>
      </c>
      <c r="J248">
        <v>1</v>
      </c>
      <c r="K248" t="str">
        <f t="shared" si="18"/>
        <v>Melissa Miranda</v>
      </c>
      <c r="L248" t="str">
        <f t="shared" si="19"/>
        <v>Male</v>
      </c>
      <c r="M248" t="str">
        <f t="shared" si="20"/>
        <v>Jennifer Jones</v>
      </c>
      <c r="N248" s="4" t="str">
        <f t="shared" si="21"/>
        <v>Orthopedics</v>
      </c>
      <c r="O248" s="6">
        <f t="shared" si="22"/>
        <v>70.47</v>
      </c>
      <c r="P248" s="4" t="str">
        <f t="shared" si="23"/>
        <v>Yes</v>
      </c>
      <c r="Q248" s="4" t="str">
        <f>IF(OR(A248="",C248="",L248="Missing",M248="Missing",O248="0.00",K248="Missing"),"Review","OK")</f>
        <v>OK</v>
      </c>
    </row>
    <row r="249" spans="1:17" x14ac:dyDescent="0.3">
      <c r="A249">
        <v>1022</v>
      </c>
      <c r="B249" t="s">
        <v>808</v>
      </c>
      <c r="C249">
        <v>24</v>
      </c>
      <c r="D249" t="s">
        <v>41</v>
      </c>
      <c r="E249" s="3" t="s">
        <v>809</v>
      </c>
      <c r="F249" s="3">
        <v>45787</v>
      </c>
      <c r="G249" t="s">
        <v>810</v>
      </c>
      <c r="H249" t="s">
        <v>25</v>
      </c>
      <c r="I249" t="s">
        <v>811</v>
      </c>
      <c r="J249" t="s">
        <v>39</v>
      </c>
      <c r="K249" t="str">
        <f t="shared" si="18"/>
        <v>Linda Nicholson</v>
      </c>
      <c r="L249" t="str">
        <f t="shared" si="19"/>
        <v>Female</v>
      </c>
      <c r="M249" t="str">
        <f t="shared" si="20"/>
        <v>Melissa Daniels</v>
      </c>
      <c r="N249" s="4" t="str">
        <f t="shared" si="21"/>
        <v>Neurology</v>
      </c>
      <c r="O249" s="6">
        <f t="shared" si="22"/>
        <v>425.91</v>
      </c>
      <c r="P249" s="4" t="str">
        <f t="shared" si="23"/>
        <v>Yes</v>
      </c>
      <c r="Q249" s="4" t="str">
        <f>IF(OR(A249="",C249="",L249="Missing",M249="Missing",O249="0.00",K249="Missing"),"Review","OK")</f>
        <v>OK</v>
      </c>
    </row>
    <row r="250" spans="1:17" x14ac:dyDescent="0.3">
      <c r="A250">
        <v>1093</v>
      </c>
      <c r="B250" t="s">
        <v>812</v>
      </c>
      <c r="C250">
        <v>31</v>
      </c>
      <c r="E250" s="3">
        <v>45804</v>
      </c>
      <c r="F250" s="3">
        <v>45646</v>
      </c>
      <c r="G250" t="s">
        <v>813</v>
      </c>
      <c r="H250" t="s">
        <v>29</v>
      </c>
      <c r="I250" t="s">
        <v>814</v>
      </c>
      <c r="J250">
        <v>0</v>
      </c>
      <c r="K250" t="str">
        <f t="shared" si="18"/>
        <v>Whitney Bradley</v>
      </c>
      <c r="L250" t="str">
        <f t="shared" si="19"/>
        <v>Missing</v>
      </c>
      <c r="M250" t="str">
        <f t="shared" si="20"/>
        <v>Ryan White</v>
      </c>
      <c r="N250" s="4" t="str">
        <f t="shared" si="21"/>
        <v>General</v>
      </c>
      <c r="O250" s="6">
        <f t="shared" si="22"/>
        <v>111.71</v>
      </c>
      <c r="P250" s="4" t="str">
        <f t="shared" si="23"/>
        <v>No</v>
      </c>
      <c r="Q250" s="4" t="str">
        <f>IF(OR(A250="",C250="",L250="Missing",M250="Missing",O250="0.00",K250="Missing"),"Review","OK")</f>
        <v>Review</v>
      </c>
    </row>
    <row r="251" spans="1:17" x14ac:dyDescent="0.3">
      <c r="A251">
        <v>1089</v>
      </c>
      <c r="B251" t="s">
        <v>815</v>
      </c>
      <c r="C251">
        <v>47</v>
      </c>
      <c r="D251" t="s">
        <v>11</v>
      </c>
      <c r="E251" s="3">
        <v>46064</v>
      </c>
      <c r="F251" s="3">
        <v>45702</v>
      </c>
      <c r="G251" t="s">
        <v>816</v>
      </c>
      <c r="H251" t="s">
        <v>13</v>
      </c>
      <c r="I251" t="s">
        <v>817</v>
      </c>
      <c r="J251" t="s">
        <v>31</v>
      </c>
      <c r="K251" t="str">
        <f t="shared" si="18"/>
        <v>Carolyn Jacobson</v>
      </c>
      <c r="L251" t="str">
        <f t="shared" si="19"/>
        <v>Female</v>
      </c>
      <c r="M251" t="str">
        <f t="shared" si="20"/>
        <v>Katrina Johnston</v>
      </c>
      <c r="N251" s="4" t="str">
        <f t="shared" si="21"/>
        <v>Cardiology</v>
      </c>
      <c r="O251" s="6">
        <f t="shared" si="22"/>
        <v>365.37</v>
      </c>
      <c r="P251" s="4" t="str">
        <f t="shared" si="23"/>
        <v>No</v>
      </c>
      <c r="Q251" s="4" t="str">
        <f>IF(OR(A251="",C251="",L251="Missing",M251="Missing",O251="0.00",K251="Missing"),"Review","OK")</f>
        <v>OK</v>
      </c>
    </row>
    <row r="252" spans="1:17" x14ac:dyDescent="0.3">
      <c r="A252">
        <v>1094</v>
      </c>
      <c r="B252" t="s">
        <v>818</v>
      </c>
      <c r="C252">
        <v>74</v>
      </c>
      <c r="D252">
        <v>1</v>
      </c>
      <c r="E252" s="3" t="s">
        <v>819</v>
      </c>
      <c r="F252" s="3" t="s">
        <v>820</v>
      </c>
      <c r="G252" t="s">
        <v>821</v>
      </c>
      <c r="H252" t="s">
        <v>13</v>
      </c>
      <c r="I252" t="s">
        <v>822</v>
      </c>
      <c r="J252">
        <v>1</v>
      </c>
      <c r="K252" t="str">
        <f t="shared" si="18"/>
        <v>Jordan Hudson</v>
      </c>
      <c r="L252" t="str">
        <f t="shared" si="19"/>
        <v>Female</v>
      </c>
      <c r="M252" t="str">
        <f t="shared" si="20"/>
        <v>Linda Martin</v>
      </c>
      <c r="N252" s="4" t="str">
        <f t="shared" si="21"/>
        <v>Cardiology</v>
      </c>
      <c r="O252" s="6">
        <f t="shared" si="22"/>
        <v>475.27</v>
      </c>
      <c r="P252" s="4" t="str">
        <f t="shared" si="23"/>
        <v>Yes</v>
      </c>
      <c r="Q252" s="4" t="str">
        <f>IF(OR(A252="",C252="",L252="Missing",M252="Missing",O252="0.00",K252="Missing"),"Review","OK")</f>
        <v>OK</v>
      </c>
    </row>
    <row r="253" spans="1:17" x14ac:dyDescent="0.3">
      <c r="A253">
        <v>1016</v>
      </c>
      <c r="B253" t="s">
        <v>823</v>
      </c>
      <c r="C253">
        <v>36</v>
      </c>
      <c r="D253" t="s">
        <v>16</v>
      </c>
      <c r="E253" s="3">
        <v>45996</v>
      </c>
      <c r="F253" s="3">
        <v>45458</v>
      </c>
      <c r="G253" t="s">
        <v>824</v>
      </c>
      <c r="H253" t="s">
        <v>25</v>
      </c>
      <c r="I253" t="s">
        <v>825</v>
      </c>
      <c r="J253" t="s">
        <v>65</v>
      </c>
      <c r="K253" t="str">
        <f t="shared" si="18"/>
        <v>Joseph Banks</v>
      </c>
      <c r="L253" t="str">
        <f t="shared" si="19"/>
        <v>Female</v>
      </c>
      <c r="M253" t="str">
        <f t="shared" si="20"/>
        <v>Susan Kelley</v>
      </c>
      <c r="N253" s="4" t="str">
        <f t="shared" si="21"/>
        <v>Neurology</v>
      </c>
      <c r="O253" s="6">
        <f t="shared" si="22"/>
        <v>108.6</v>
      </c>
      <c r="P253" s="4" t="str">
        <f t="shared" si="23"/>
        <v>No</v>
      </c>
      <c r="Q253" s="4" t="str">
        <f>IF(OR(A253="",C253="",L253="Missing",M253="Missing",O253="0.00",K253="Missing"),"Review","OK")</f>
        <v>OK</v>
      </c>
    </row>
    <row r="254" spans="1:17" x14ac:dyDescent="0.3">
      <c r="A254">
        <v>1045</v>
      </c>
      <c r="B254" t="s">
        <v>826</v>
      </c>
      <c r="C254">
        <v>34</v>
      </c>
      <c r="D254" t="s">
        <v>16</v>
      </c>
      <c r="E254" s="3" t="s">
        <v>827</v>
      </c>
      <c r="F254" s="3">
        <v>45431</v>
      </c>
      <c r="G254" t="s">
        <v>828</v>
      </c>
      <c r="H254" t="s">
        <v>13</v>
      </c>
      <c r="I254" t="s">
        <v>829</v>
      </c>
      <c r="J254" t="s">
        <v>65</v>
      </c>
      <c r="K254" t="str">
        <f t="shared" si="18"/>
        <v>Brad West</v>
      </c>
      <c r="L254" t="str">
        <f t="shared" si="19"/>
        <v>Female</v>
      </c>
      <c r="M254" t="str">
        <f t="shared" si="20"/>
        <v>Samuel Stone</v>
      </c>
      <c r="N254" s="4" t="str">
        <f t="shared" si="21"/>
        <v>Cardiology</v>
      </c>
      <c r="O254" s="6">
        <f t="shared" si="22"/>
        <v>455.05</v>
      </c>
      <c r="P254" s="4" t="str">
        <f t="shared" si="23"/>
        <v>No</v>
      </c>
      <c r="Q254" s="4" t="str">
        <f>IF(OR(A254="",C254="",L254="Missing",M254="Missing",O254="0.00",K254="Missing"),"Review","OK")</f>
        <v>OK</v>
      </c>
    </row>
    <row r="255" spans="1:17" x14ac:dyDescent="0.3">
      <c r="A255">
        <v>1036</v>
      </c>
      <c r="B255" t="s">
        <v>830</v>
      </c>
      <c r="C255">
        <v>29</v>
      </c>
      <c r="D255">
        <v>1</v>
      </c>
      <c r="E255" s="3">
        <v>46050</v>
      </c>
      <c r="F255" s="3">
        <v>45363</v>
      </c>
      <c r="G255" t="s">
        <v>831</v>
      </c>
      <c r="H255" t="s">
        <v>25</v>
      </c>
      <c r="I255" t="s">
        <v>832</v>
      </c>
      <c r="J255" t="s">
        <v>31</v>
      </c>
      <c r="K255" t="str">
        <f t="shared" si="18"/>
        <v>Kelsey Johnson</v>
      </c>
      <c r="L255" t="str">
        <f t="shared" si="19"/>
        <v>Female</v>
      </c>
      <c r="M255" t="str">
        <f t="shared" si="20"/>
        <v>Mallory Torres</v>
      </c>
      <c r="N255" s="4" t="str">
        <f t="shared" si="21"/>
        <v>Neurology</v>
      </c>
      <c r="O255" s="6">
        <f t="shared" si="22"/>
        <v>264.45</v>
      </c>
      <c r="P255" s="4" t="str">
        <f t="shared" si="23"/>
        <v>No</v>
      </c>
      <c r="Q255" s="4" t="str">
        <f>IF(OR(A255="",C255="",L255="Missing",M255="Missing",O255="0.00",K255="Missing"),"Review","OK")</f>
        <v>OK</v>
      </c>
    </row>
    <row r="256" spans="1:17" x14ac:dyDescent="0.3">
      <c r="A256">
        <v>1031</v>
      </c>
      <c r="B256" t="s">
        <v>833</v>
      </c>
      <c r="C256">
        <v>42</v>
      </c>
      <c r="D256" t="s">
        <v>16</v>
      </c>
      <c r="E256" s="3">
        <v>45874</v>
      </c>
      <c r="F256" s="3">
        <v>45865</v>
      </c>
      <c r="G256" t="s">
        <v>834</v>
      </c>
      <c r="H256" t="s">
        <v>19</v>
      </c>
      <c r="I256" t="s">
        <v>835</v>
      </c>
      <c r="J256" t="s">
        <v>31</v>
      </c>
      <c r="K256" t="str">
        <f t="shared" si="18"/>
        <v>Jared Parrish</v>
      </c>
      <c r="L256" t="str">
        <f t="shared" si="19"/>
        <v>Female</v>
      </c>
      <c r="M256" t="str">
        <f t="shared" si="20"/>
        <v>Wendy Herrera</v>
      </c>
      <c r="N256" s="4" t="str">
        <f t="shared" si="21"/>
        <v>Orthopedics</v>
      </c>
      <c r="O256" s="6">
        <f t="shared" si="22"/>
        <v>132.57</v>
      </c>
      <c r="P256" s="4" t="str">
        <f t="shared" si="23"/>
        <v>No</v>
      </c>
      <c r="Q256" s="4" t="str">
        <f>IF(OR(A256="",C256="",L256="Missing",M256="Missing",O256="0.00",K256="Missing"),"Review","OK")</f>
        <v>OK</v>
      </c>
    </row>
    <row r="257" spans="1:17" x14ac:dyDescent="0.3">
      <c r="A257">
        <v>1097</v>
      </c>
      <c r="B257" t="s">
        <v>836</v>
      </c>
      <c r="C257">
        <v>35</v>
      </c>
      <c r="E257" s="3">
        <v>45766</v>
      </c>
      <c r="F257" s="3">
        <v>45758</v>
      </c>
      <c r="G257" t="s">
        <v>837</v>
      </c>
      <c r="H257" t="s">
        <v>13</v>
      </c>
      <c r="I257" t="s">
        <v>838</v>
      </c>
      <c r="J257" t="s">
        <v>65</v>
      </c>
      <c r="K257" t="str">
        <f t="shared" si="18"/>
        <v>Megan Murphy</v>
      </c>
      <c r="L257" t="str">
        <f t="shared" si="19"/>
        <v>Missing</v>
      </c>
      <c r="M257" t="str">
        <f t="shared" si="20"/>
        <v>Kevin Coleman</v>
      </c>
      <c r="N257" s="4" t="str">
        <f t="shared" si="21"/>
        <v>Cardiology</v>
      </c>
      <c r="O257" s="6">
        <f t="shared" si="22"/>
        <v>359.5</v>
      </c>
      <c r="P257" s="4" t="str">
        <f t="shared" si="23"/>
        <v>No</v>
      </c>
      <c r="Q257" s="4" t="str">
        <f>IF(OR(A257="",C257="",L257="Missing",M257="Missing",O257="0.00",K257="Missing"),"Review","OK")</f>
        <v>Review</v>
      </c>
    </row>
    <row r="258" spans="1:17" x14ac:dyDescent="0.3">
      <c r="A258">
        <v>1062</v>
      </c>
      <c r="B258" t="s">
        <v>839</v>
      </c>
      <c r="C258">
        <v>25</v>
      </c>
      <c r="D258" t="s">
        <v>56</v>
      </c>
      <c r="E258" s="3">
        <v>45936</v>
      </c>
      <c r="F258" s="3" t="s">
        <v>840</v>
      </c>
      <c r="G258" t="s">
        <v>841</v>
      </c>
      <c r="H258" t="s">
        <v>13</v>
      </c>
      <c r="I258" t="s">
        <v>842</v>
      </c>
      <c r="J258">
        <v>0</v>
      </c>
      <c r="K258" t="str">
        <f t="shared" ref="K258:K321" si="24">PROPER(TRIM(CLEAN(B258)))</f>
        <v>Laura Lopez</v>
      </c>
      <c r="L258" t="str">
        <f t="shared" ref="L258:L321" si="25">_xlfn.LET(_xlpm.x,LOWER(TRIM(D258)),
IF(OR(_xlpm.x="f",_xlpm.x="female",_xlpm.x="1"),"Female",
IF(OR(_xlpm.x="m",_xlpm.x="male",_xlpm.x="0"),"Male",
IF(_xlpm.x="","Missing","Review"))))</f>
        <v>Male</v>
      </c>
      <c r="M258" t="str">
        <f t="shared" ref="M258:M321" si="26">PROPER(TRIM(CLEAN(G258)))</f>
        <v>Julie Phillips</v>
      </c>
      <c r="N258" s="4" t="str">
        <f t="shared" ref="N258:N321" si="27">PROPER(TRIM(CLEAN(H258)))</f>
        <v>Cardiology</v>
      </c>
      <c r="O258" s="6">
        <f t="shared" ref="O258:O321" si="28">_xlfn.LET(_xlpm.x,TRIM(I258),IF(_xlpm.x="","0.00",IFERROR(VALUE(SUBSTITUTE(SUBSTITUTE(SUBSTITUTE(SUBSTITUTE(SUBSTITUTE(SUBSTITUTE(_xlpm.x,"Â£",""),"â‚¬",""),"$",""),"Rs",""),"£",""),"€","")),"0.00")))</f>
        <v>464.57</v>
      </c>
      <c r="P258" s="4" t="str">
        <f t="shared" ref="P258:P321" si="29">_xlfn.LET(_xlpm.x,LOWER(TRIM(J258)),
IF(OR(_xlpm.x="y",_xlpm.x="yes",_xlpm.x="1"),"Yes",
IF(OR(_xlpm.x="n",_xlpm.x="no",_xlpm.x="0"),"No",
IF(_xlpm.x="","Missing","Review"))))</f>
        <v>No</v>
      </c>
      <c r="Q258" s="4" t="str">
        <f>IF(OR(A258="",C258="",L258="Missing",M258="Missing",O258="0.00",K258="Missing"),"Review","OK")</f>
        <v>OK</v>
      </c>
    </row>
    <row r="259" spans="1:17" x14ac:dyDescent="0.3">
      <c r="A259">
        <v>1056</v>
      </c>
      <c r="B259" t="s">
        <v>843</v>
      </c>
      <c r="C259">
        <v>57</v>
      </c>
      <c r="D259" t="s">
        <v>11</v>
      </c>
      <c r="E259" s="3">
        <v>45828</v>
      </c>
      <c r="F259" s="3">
        <v>45701</v>
      </c>
      <c r="G259" t="s">
        <v>844</v>
      </c>
      <c r="H259" t="s">
        <v>25</v>
      </c>
      <c r="I259" t="s">
        <v>845</v>
      </c>
      <c r="J259">
        <v>1</v>
      </c>
      <c r="K259" t="str">
        <f t="shared" si="24"/>
        <v>Joshua Sanford</v>
      </c>
      <c r="L259" t="str">
        <f t="shared" si="25"/>
        <v>Female</v>
      </c>
      <c r="M259" t="str">
        <f t="shared" si="26"/>
        <v>Tara Montoya</v>
      </c>
      <c r="N259" s="4" t="str">
        <f t="shared" si="27"/>
        <v>Neurology</v>
      </c>
      <c r="O259" s="6">
        <f t="shared" si="28"/>
        <v>186.61</v>
      </c>
      <c r="P259" s="4" t="str">
        <f t="shared" si="29"/>
        <v>Yes</v>
      </c>
      <c r="Q259" s="4" t="str">
        <f>IF(OR(A259="",C259="",L259="Missing",M259="Missing",O259="0.00",K259="Missing"),"Review","OK")</f>
        <v>OK</v>
      </c>
    </row>
    <row r="260" spans="1:17" x14ac:dyDescent="0.3">
      <c r="A260">
        <v>1058</v>
      </c>
      <c r="B260" t="s">
        <v>846</v>
      </c>
      <c r="C260">
        <v>19</v>
      </c>
      <c r="D260">
        <v>1</v>
      </c>
      <c r="E260" s="3">
        <v>45966</v>
      </c>
      <c r="F260" s="3">
        <v>45749</v>
      </c>
      <c r="G260" t="s">
        <v>847</v>
      </c>
      <c r="H260" t="s">
        <v>25</v>
      </c>
      <c r="I260" t="s">
        <v>848</v>
      </c>
      <c r="J260" t="s">
        <v>39</v>
      </c>
      <c r="K260" t="str">
        <f t="shared" si="24"/>
        <v>Mark Bowers</v>
      </c>
      <c r="L260" t="str">
        <f t="shared" si="25"/>
        <v>Female</v>
      </c>
      <c r="M260" t="str">
        <f t="shared" si="26"/>
        <v>Antonio Bryant</v>
      </c>
      <c r="N260" s="4" t="str">
        <f t="shared" si="27"/>
        <v>Neurology</v>
      </c>
      <c r="O260" s="6">
        <f t="shared" si="28"/>
        <v>116.69</v>
      </c>
      <c r="P260" s="4" t="str">
        <f t="shared" si="29"/>
        <v>Yes</v>
      </c>
      <c r="Q260" s="4" t="str">
        <f>IF(OR(A260="",C260="",L260="Missing",M260="Missing",O260="0.00",K260="Missing"),"Review","OK")</f>
        <v>OK</v>
      </c>
    </row>
    <row r="261" spans="1:17" x14ac:dyDescent="0.3">
      <c r="A261">
        <v>1053</v>
      </c>
      <c r="B261" t="s">
        <v>849</v>
      </c>
      <c r="C261">
        <v>30</v>
      </c>
      <c r="D261" t="s">
        <v>11</v>
      </c>
      <c r="E261" s="3">
        <v>46105</v>
      </c>
      <c r="F261" s="3">
        <v>45377</v>
      </c>
      <c r="G261" t="s">
        <v>850</v>
      </c>
      <c r="H261" t="s">
        <v>29</v>
      </c>
      <c r="I261" t="s">
        <v>851</v>
      </c>
      <c r="J261">
        <v>0</v>
      </c>
      <c r="K261" t="str">
        <f t="shared" si="24"/>
        <v>Nicole West</v>
      </c>
      <c r="L261" t="str">
        <f t="shared" si="25"/>
        <v>Female</v>
      </c>
      <c r="M261" t="str">
        <f t="shared" si="26"/>
        <v>Marissa Jacobs</v>
      </c>
      <c r="N261" s="4" t="str">
        <f t="shared" si="27"/>
        <v>General</v>
      </c>
      <c r="O261" s="6">
        <f t="shared" si="28"/>
        <v>218.44</v>
      </c>
      <c r="P261" s="4" t="str">
        <f t="shared" si="29"/>
        <v>No</v>
      </c>
      <c r="Q261" s="4" t="str">
        <f>IF(OR(A261="",C261="",L261="Missing",M261="Missing",O261="0.00",K261="Missing"),"Review","OK")</f>
        <v>OK</v>
      </c>
    </row>
    <row r="262" spans="1:17" x14ac:dyDescent="0.3">
      <c r="A262">
        <v>1032</v>
      </c>
      <c r="B262" t="s">
        <v>852</v>
      </c>
      <c r="C262">
        <v>43</v>
      </c>
      <c r="D262" t="s">
        <v>16</v>
      </c>
      <c r="E262" s="3" t="s">
        <v>853</v>
      </c>
      <c r="F262" s="3">
        <v>45682</v>
      </c>
      <c r="G262" t="s">
        <v>854</v>
      </c>
      <c r="H262" t="s">
        <v>25</v>
      </c>
      <c r="I262" t="s">
        <v>855</v>
      </c>
      <c r="J262">
        <v>0</v>
      </c>
      <c r="K262" t="str">
        <f t="shared" si="24"/>
        <v>Amy Wood</v>
      </c>
      <c r="L262" t="str">
        <f t="shared" si="25"/>
        <v>Female</v>
      </c>
      <c r="M262" t="str">
        <f t="shared" si="26"/>
        <v>John Shannon</v>
      </c>
      <c r="N262" s="4" t="str">
        <f t="shared" si="27"/>
        <v>Neurology</v>
      </c>
      <c r="O262" s="6">
        <f t="shared" si="28"/>
        <v>255.67</v>
      </c>
      <c r="P262" s="4" t="str">
        <f t="shared" si="29"/>
        <v>No</v>
      </c>
      <c r="Q262" s="4" t="str">
        <f>IF(OR(A262="",C262="",L262="Missing",M262="Missing",O262="0.00",K262="Missing"),"Review","OK")</f>
        <v>OK</v>
      </c>
    </row>
    <row r="263" spans="1:17" x14ac:dyDescent="0.3">
      <c r="A263">
        <v>1049</v>
      </c>
      <c r="B263" t="s">
        <v>856</v>
      </c>
      <c r="C263">
        <v>79</v>
      </c>
      <c r="D263">
        <v>1</v>
      </c>
      <c r="E263" s="3">
        <v>45997</v>
      </c>
      <c r="F263" s="3">
        <v>45544</v>
      </c>
      <c r="G263" t="s">
        <v>857</v>
      </c>
      <c r="H263" t="s">
        <v>25</v>
      </c>
      <c r="J263" t="s">
        <v>31</v>
      </c>
      <c r="K263" t="str">
        <f t="shared" si="24"/>
        <v>Robert Montoya</v>
      </c>
      <c r="L263" t="str">
        <f t="shared" si="25"/>
        <v>Female</v>
      </c>
      <c r="M263" t="str">
        <f t="shared" si="26"/>
        <v>Gregg Bennett</v>
      </c>
      <c r="N263" s="4" t="str">
        <f t="shared" si="27"/>
        <v>Neurology</v>
      </c>
      <c r="O263" s="6" t="str">
        <f t="shared" si="28"/>
        <v>0.00</v>
      </c>
      <c r="P263" s="4" t="str">
        <f t="shared" si="29"/>
        <v>No</v>
      </c>
      <c r="Q263" s="4" t="str">
        <f>IF(OR(A263="",C263="",L263="Missing",M263="Missing",O263="0.00",K263="Missing"),"Review","OK")</f>
        <v>Review</v>
      </c>
    </row>
    <row r="264" spans="1:17" x14ac:dyDescent="0.3">
      <c r="A264">
        <v>1068</v>
      </c>
      <c r="B264" t="s">
        <v>858</v>
      </c>
      <c r="C264">
        <v>61</v>
      </c>
      <c r="D264" t="s">
        <v>76</v>
      </c>
      <c r="E264" s="3">
        <v>45950</v>
      </c>
      <c r="F264" s="3">
        <v>45876</v>
      </c>
      <c r="G264" t="s">
        <v>859</v>
      </c>
      <c r="H264" t="s">
        <v>25</v>
      </c>
      <c r="I264" t="s">
        <v>860</v>
      </c>
      <c r="J264" t="s">
        <v>65</v>
      </c>
      <c r="K264" t="str">
        <f t="shared" si="24"/>
        <v>Robert Torres</v>
      </c>
      <c r="L264" t="str">
        <f t="shared" si="25"/>
        <v>Male</v>
      </c>
      <c r="M264" t="str">
        <f t="shared" si="26"/>
        <v>Kyle Phillips</v>
      </c>
      <c r="N264" s="4" t="str">
        <f t="shared" si="27"/>
        <v>Neurology</v>
      </c>
      <c r="O264" s="6">
        <f t="shared" si="28"/>
        <v>129.47999999999999</v>
      </c>
      <c r="P264" s="4" t="str">
        <f t="shared" si="29"/>
        <v>No</v>
      </c>
      <c r="Q264" s="4" t="str">
        <f>IF(OR(A264="",C264="",L264="Missing",M264="Missing",O264="0.00",K264="Missing"),"Review","OK")</f>
        <v>OK</v>
      </c>
    </row>
    <row r="265" spans="1:17" x14ac:dyDescent="0.3">
      <c r="A265">
        <v>1015</v>
      </c>
      <c r="B265" t="s">
        <v>861</v>
      </c>
      <c r="C265">
        <v>53</v>
      </c>
      <c r="D265" t="s">
        <v>56</v>
      </c>
      <c r="E265" s="3">
        <v>45768</v>
      </c>
      <c r="F265" s="3">
        <v>45529</v>
      </c>
      <c r="G265" t="s">
        <v>862</v>
      </c>
      <c r="H265" t="s">
        <v>29</v>
      </c>
      <c r="I265" t="s">
        <v>863</v>
      </c>
      <c r="J265" t="s">
        <v>31</v>
      </c>
      <c r="K265" t="str">
        <f t="shared" si="24"/>
        <v>Mason Morgan</v>
      </c>
      <c r="L265" t="str">
        <f t="shared" si="25"/>
        <v>Male</v>
      </c>
      <c r="M265" t="str">
        <f t="shared" si="26"/>
        <v>James Cobb</v>
      </c>
      <c r="N265" s="4" t="str">
        <f t="shared" si="27"/>
        <v>General</v>
      </c>
      <c r="O265" s="6">
        <f t="shared" si="28"/>
        <v>299.02999999999997</v>
      </c>
      <c r="P265" s="4" t="str">
        <f t="shared" si="29"/>
        <v>No</v>
      </c>
      <c r="Q265" s="4" t="str">
        <f>IF(OR(A265="",C265="",L265="Missing",M265="Missing",O265="0.00",K265="Missing"),"Review","OK")</f>
        <v>OK</v>
      </c>
    </row>
    <row r="266" spans="1:17" x14ac:dyDescent="0.3">
      <c r="A266">
        <v>1090</v>
      </c>
      <c r="B266" t="s">
        <v>864</v>
      </c>
      <c r="C266">
        <v>70</v>
      </c>
      <c r="D266" t="s">
        <v>41</v>
      </c>
      <c r="E266" s="3">
        <v>46000</v>
      </c>
      <c r="F266" s="3" t="s">
        <v>865</v>
      </c>
      <c r="G266" t="s">
        <v>866</v>
      </c>
      <c r="H266" t="s">
        <v>19</v>
      </c>
      <c r="I266" t="s">
        <v>867</v>
      </c>
      <c r="J266" t="s">
        <v>21</v>
      </c>
      <c r="K266" t="str">
        <f t="shared" si="24"/>
        <v>Jeffrey Hart</v>
      </c>
      <c r="L266" t="str">
        <f t="shared" si="25"/>
        <v>Female</v>
      </c>
      <c r="M266" t="str">
        <f t="shared" si="26"/>
        <v>Jacob Townsend</v>
      </c>
      <c r="N266" s="4" t="str">
        <f t="shared" si="27"/>
        <v>Orthopedics</v>
      </c>
      <c r="O266" s="6">
        <f t="shared" si="28"/>
        <v>459.66</v>
      </c>
      <c r="P266" s="4" t="str">
        <f t="shared" si="29"/>
        <v>Yes</v>
      </c>
      <c r="Q266" s="4" t="str">
        <f>IF(OR(A266="",C266="",L266="Missing",M266="Missing",O266="0.00",K266="Missing"),"Review","OK")</f>
        <v>OK</v>
      </c>
    </row>
    <row r="267" spans="1:17" x14ac:dyDescent="0.3">
      <c r="A267">
        <v>1086</v>
      </c>
      <c r="B267" t="s">
        <v>868</v>
      </c>
      <c r="C267">
        <v>72</v>
      </c>
      <c r="D267">
        <v>0</v>
      </c>
      <c r="E267" s="3">
        <v>46298</v>
      </c>
      <c r="F267" s="3">
        <v>45952</v>
      </c>
      <c r="G267" t="s">
        <v>869</v>
      </c>
      <c r="H267" t="s">
        <v>19</v>
      </c>
      <c r="I267" t="s">
        <v>870</v>
      </c>
      <c r="J267">
        <v>0</v>
      </c>
      <c r="K267" t="str">
        <f t="shared" si="24"/>
        <v>Jessica Pitts</v>
      </c>
      <c r="L267" t="str">
        <f t="shared" si="25"/>
        <v>Male</v>
      </c>
      <c r="M267" t="str">
        <f t="shared" si="26"/>
        <v>Miguel Hayes</v>
      </c>
      <c r="N267" s="4" t="str">
        <f t="shared" si="27"/>
        <v>Orthopedics</v>
      </c>
      <c r="O267" s="6">
        <f t="shared" si="28"/>
        <v>403.61</v>
      </c>
      <c r="P267" s="4" t="str">
        <f t="shared" si="29"/>
        <v>No</v>
      </c>
      <c r="Q267" s="4" t="str">
        <f>IF(OR(A267="",C267="",L267="Missing",M267="Missing",O267="0.00",K267="Missing"),"Review","OK")</f>
        <v>OK</v>
      </c>
    </row>
    <row r="268" spans="1:17" x14ac:dyDescent="0.3">
      <c r="A268">
        <v>1088</v>
      </c>
      <c r="B268" t="s">
        <v>871</v>
      </c>
      <c r="C268">
        <v>49</v>
      </c>
      <c r="D268" t="s">
        <v>41</v>
      </c>
      <c r="E268" s="3">
        <v>45915</v>
      </c>
      <c r="F268" s="3">
        <v>45687</v>
      </c>
      <c r="G268" t="s">
        <v>872</v>
      </c>
      <c r="H268" t="s">
        <v>29</v>
      </c>
      <c r="I268" t="s">
        <v>873</v>
      </c>
      <c r="J268" t="s">
        <v>21</v>
      </c>
      <c r="K268" t="str">
        <f t="shared" si="24"/>
        <v>Amy King</v>
      </c>
      <c r="L268" t="str">
        <f t="shared" si="25"/>
        <v>Female</v>
      </c>
      <c r="M268" t="str">
        <f t="shared" si="26"/>
        <v>Peter Wells</v>
      </c>
      <c r="N268" s="4" t="str">
        <f t="shared" si="27"/>
        <v>General</v>
      </c>
      <c r="O268" s="6">
        <f t="shared" si="28"/>
        <v>241.48</v>
      </c>
      <c r="P268" s="4" t="str">
        <f t="shared" si="29"/>
        <v>Yes</v>
      </c>
      <c r="Q268" s="4" t="str">
        <f>IF(OR(A268="",C268="",L268="Missing",M268="Missing",O268="0.00",K268="Missing"),"Review","OK")</f>
        <v>OK</v>
      </c>
    </row>
    <row r="269" spans="1:17" x14ac:dyDescent="0.3">
      <c r="A269">
        <v>1034</v>
      </c>
      <c r="B269" t="s">
        <v>874</v>
      </c>
      <c r="C269">
        <v>44</v>
      </c>
      <c r="E269" s="3">
        <v>45854</v>
      </c>
      <c r="F269" s="3">
        <v>45997</v>
      </c>
      <c r="G269" t="s">
        <v>875</v>
      </c>
      <c r="H269" t="s">
        <v>25</v>
      </c>
      <c r="I269" t="s">
        <v>876</v>
      </c>
      <c r="J269" t="s">
        <v>39</v>
      </c>
      <c r="K269" t="str">
        <f t="shared" si="24"/>
        <v>Lisa Fisher</v>
      </c>
      <c r="L269" t="str">
        <f t="shared" si="25"/>
        <v>Missing</v>
      </c>
      <c r="M269" t="str">
        <f t="shared" si="26"/>
        <v>Karen Martin</v>
      </c>
      <c r="N269" s="4" t="str">
        <f t="shared" si="27"/>
        <v>Neurology</v>
      </c>
      <c r="O269" s="6">
        <f t="shared" si="28"/>
        <v>417.38</v>
      </c>
      <c r="P269" s="4" t="str">
        <f t="shared" si="29"/>
        <v>Yes</v>
      </c>
      <c r="Q269" s="4" t="str">
        <f>IF(OR(A269="",C269="",L269="Missing",M269="Missing",O269="0.00",K269="Missing"),"Review","OK")</f>
        <v>Review</v>
      </c>
    </row>
    <row r="270" spans="1:17" x14ac:dyDescent="0.3">
      <c r="A270">
        <v>1070</v>
      </c>
      <c r="B270" t="s">
        <v>877</v>
      </c>
      <c r="C270">
        <v>68</v>
      </c>
      <c r="D270" t="s">
        <v>11</v>
      </c>
      <c r="E270" s="3">
        <v>45807</v>
      </c>
      <c r="F270" s="3">
        <v>45426</v>
      </c>
      <c r="G270" t="s">
        <v>878</v>
      </c>
      <c r="H270" t="s">
        <v>29</v>
      </c>
      <c r="I270" t="s">
        <v>879</v>
      </c>
      <c r="J270" t="s">
        <v>39</v>
      </c>
      <c r="K270" t="str">
        <f t="shared" si="24"/>
        <v>Donna Jenkins</v>
      </c>
      <c r="L270" t="str">
        <f t="shared" si="25"/>
        <v>Female</v>
      </c>
      <c r="M270" t="str">
        <f t="shared" si="26"/>
        <v>Rachel Allen</v>
      </c>
      <c r="N270" s="4" t="str">
        <f t="shared" si="27"/>
        <v>General</v>
      </c>
      <c r="O270" s="6">
        <f t="shared" si="28"/>
        <v>390.97</v>
      </c>
      <c r="P270" s="4" t="str">
        <f t="shared" si="29"/>
        <v>Yes</v>
      </c>
      <c r="Q270" s="4" t="str">
        <f>IF(OR(A270="",C270="",L270="Missing",M270="Missing",O270="0.00",K270="Missing"),"Review","OK")</f>
        <v>OK</v>
      </c>
    </row>
    <row r="271" spans="1:17" x14ac:dyDescent="0.3">
      <c r="A271">
        <v>1032</v>
      </c>
      <c r="B271" t="s">
        <v>880</v>
      </c>
      <c r="C271">
        <v>88</v>
      </c>
      <c r="D271" t="s">
        <v>23</v>
      </c>
      <c r="E271" s="3" t="s">
        <v>881</v>
      </c>
      <c r="F271" s="3">
        <v>45389</v>
      </c>
      <c r="G271" t="s">
        <v>882</v>
      </c>
      <c r="H271" t="s">
        <v>29</v>
      </c>
      <c r="I271" t="s">
        <v>883</v>
      </c>
      <c r="J271" t="s">
        <v>31</v>
      </c>
      <c r="K271" t="str">
        <f t="shared" si="24"/>
        <v>Matthew Cox</v>
      </c>
      <c r="L271" t="str">
        <f t="shared" si="25"/>
        <v>Male</v>
      </c>
      <c r="M271" t="str">
        <f t="shared" si="26"/>
        <v>Alexander Horton</v>
      </c>
      <c r="N271" s="4" t="str">
        <f t="shared" si="27"/>
        <v>General</v>
      </c>
      <c r="O271" s="6">
        <f t="shared" si="28"/>
        <v>100.2</v>
      </c>
      <c r="P271" s="4" t="str">
        <f t="shared" si="29"/>
        <v>No</v>
      </c>
      <c r="Q271" s="4" t="str">
        <f>IF(OR(A271="",C271="",L271="Missing",M271="Missing",O271="0.00",K271="Missing"),"Review","OK")</f>
        <v>OK</v>
      </c>
    </row>
    <row r="272" spans="1:17" x14ac:dyDescent="0.3">
      <c r="A272">
        <v>1036</v>
      </c>
      <c r="B272" t="s">
        <v>884</v>
      </c>
      <c r="C272">
        <v>75</v>
      </c>
      <c r="D272">
        <v>1</v>
      </c>
      <c r="E272" s="3">
        <v>46076</v>
      </c>
      <c r="F272" s="3" t="s">
        <v>885</v>
      </c>
      <c r="G272" t="s">
        <v>886</v>
      </c>
      <c r="H272" t="s">
        <v>13</v>
      </c>
      <c r="I272" t="s">
        <v>887</v>
      </c>
      <c r="J272" t="s">
        <v>65</v>
      </c>
      <c r="K272" t="str">
        <f t="shared" si="24"/>
        <v>Melissa Berry Md</v>
      </c>
      <c r="L272" t="str">
        <f t="shared" si="25"/>
        <v>Female</v>
      </c>
      <c r="M272" t="str">
        <f t="shared" si="26"/>
        <v>Kathryn Hooper</v>
      </c>
      <c r="N272" s="4" t="str">
        <f t="shared" si="27"/>
        <v>Cardiology</v>
      </c>
      <c r="O272" s="6">
        <f t="shared" si="28"/>
        <v>462.97</v>
      </c>
      <c r="P272" s="4" t="str">
        <f t="shared" si="29"/>
        <v>No</v>
      </c>
      <c r="Q272" s="4" t="str">
        <f>IF(OR(A272="",C272="",L272="Missing",M272="Missing",O272="0.00",K272="Missing"),"Review","OK")</f>
        <v>OK</v>
      </c>
    </row>
    <row r="273" spans="1:17" x14ac:dyDescent="0.3">
      <c r="A273">
        <v>1098</v>
      </c>
      <c r="B273" t="s">
        <v>888</v>
      </c>
      <c r="C273">
        <v>88</v>
      </c>
      <c r="D273" t="s">
        <v>41</v>
      </c>
      <c r="E273" s="3">
        <v>46067</v>
      </c>
      <c r="F273" s="3">
        <v>45653</v>
      </c>
      <c r="G273" t="s">
        <v>889</v>
      </c>
      <c r="H273" t="s">
        <v>19</v>
      </c>
      <c r="I273" t="s">
        <v>890</v>
      </c>
      <c r="J273">
        <v>0</v>
      </c>
      <c r="K273" t="str">
        <f t="shared" si="24"/>
        <v>Zachary Frazier</v>
      </c>
      <c r="L273" t="str">
        <f t="shared" si="25"/>
        <v>Female</v>
      </c>
      <c r="M273" t="str">
        <f t="shared" si="26"/>
        <v>Tamara Thompson</v>
      </c>
      <c r="N273" s="4" t="str">
        <f t="shared" si="27"/>
        <v>Orthopedics</v>
      </c>
      <c r="O273" s="6">
        <f t="shared" si="28"/>
        <v>481.92</v>
      </c>
      <c r="P273" s="4" t="str">
        <f t="shared" si="29"/>
        <v>No</v>
      </c>
      <c r="Q273" s="4" t="str">
        <f>IF(OR(A273="",C273="",L273="Missing",M273="Missing",O273="0.00",K273="Missing"),"Review","OK")</f>
        <v>OK</v>
      </c>
    </row>
    <row r="274" spans="1:17" x14ac:dyDescent="0.3">
      <c r="A274">
        <v>1071</v>
      </c>
      <c r="B274" t="s">
        <v>891</v>
      </c>
      <c r="C274">
        <v>49</v>
      </c>
      <c r="D274" t="s">
        <v>76</v>
      </c>
      <c r="E274" s="3">
        <v>45801</v>
      </c>
      <c r="F274" s="3">
        <v>45636</v>
      </c>
      <c r="G274" t="s">
        <v>892</v>
      </c>
      <c r="H274" t="s">
        <v>19</v>
      </c>
      <c r="I274" t="s">
        <v>893</v>
      </c>
      <c r="J274" t="s">
        <v>65</v>
      </c>
      <c r="K274" t="str">
        <f t="shared" si="24"/>
        <v>Jose Bryant</v>
      </c>
      <c r="L274" t="str">
        <f t="shared" si="25"/>
        <v>Male</v>
      </c>
      <c r="M274" t="str">
        <f t="shared" si="26"/>
        <v>Ryan Lopez</v>
      </c>
      <c r="N274" s="4" t="str">
        <f t="shared" si="27"/>
        <v>Orthopedics</v>
      </c>
      <c r="O274" s="6">
        <f t="shared" si="28"/>
        <v>350.41</v>
      </c>
      <c r="P274" s="4" t="str">
        <f t="shared" si="29"/>
        <v>No</v>
      </c>
      <c r="Q274" s="4" t="str">
        <f>IF(OR(A274="",C274="",L274="Missing",M274="Missing",O274="0.00",K274="Missing"),"Review","OK")</f>
        <v>OK</v>
      </c>
    </row>
    <row r="275" spans="1:17" x14ac:dyDescent="0.3">
      <c r="A275">
        <v>1054</v>
      </c>
      <c r="B275" t="s">
        <v>894</v>
      </c>
      <c r="C275">
        <v>82</v>
      </c>
      <c r="D275">
        <v>1</v>
      </c>
      <c r="E275" s="3">
        <v>45984</v>
      </c>
      <c r="F275" s="3">
        <v>45633</v>
      </c>
      <c r="G275" t="s">
        <v>895</v>
      </c>
      <c r="H275" t="s">
        <v>13</v>
      </c>
      <c r="I275" t="s">
        <v>896</v>
      </c>
      <c r="J275" t="s">
        <v>39</v>
      </c>
      <c r="K275" t="str">
        <f t="shared" si="24"/>
        <v>Thomas Smith</v>
      </c>
      <c r="L275" t="str">
        <f t="shared" si="25"/>
        <v>Female</v>
      </c>
      <c r="M275" t="str">
        <f t="shared" si="26"/>
        <v>Kenneth Turner</v>
      </c>
      <c r="N275" s="4" t="str">
        <f t="shared" si="27"/>
        <v>Cardiology</v>
      </c>
      <c r="O275" s="6">
        <f t="shared" si="28"/>
        <v>392.87</v>
      </c>
      <c r="P275" s="4" t="str">
        <f t="shared" si="29"/>
        <v>Yes</v>
      </c>
      <c r="Q275" s="4" t="str">
        <f>IF(OR(A275="",C275="",L275="Missing",M275="Missing",O275="0.00",K275="Missing"),"Review","OK")</f>
        <v>OK</v>
      </c>
    </row>
    <row r="276" spans="1:17" x14ac:dyDescent="0.3">
      <c r="A276">
        <v>1054</v>
      </c>
      <c r="B276" t="s">
        <v>897</v>
      </c>
      <c r="C276">
        <v>62</v>
      </c>
      <c r="D276" t="s">
        <v>76</v>
      </c>
      <c r="E276" s="3" t="s">
        <v>768</v>
      </c>
      <c r="F276" s="3" t="s">
        <v>898</v>
      </c>
      <c r="G276" t="s">
        <v>899</v>
      </c>
      <c r="H276" t="s">
        <v>19</v>
      </c>
      <c r="J276" t="s">
        <v>31</v>
      </c>
      <c r="K276" t="str">
        <f t="shared" si="24"/>
        <v>Jason Harrington</v>
      </c>
      <c r="L276" t="str">
        <f t="shared" si="25"/>
        <v>Male</v>
      </c>
      <c r="M276" t="str">
        <f t="shared" si="26"/>
        <v>Stacey Miller</v>
      </c>
      <c r="N276" s="4" t="str">
        <f t="shared" si="27"/>
        <v>Orthopedics</v>
      </c>
      <c r="O276" s="6" t="str">
        <f t="shared" si="28"/>
        <v>0.00</v>
      </c>
      <c r="P276" s="4" t="str">
        <f t="shared" si="29"/>
        <v>No</v>
      </c>
      <c r="Q276" s="4" t="str">
        <f>IF(OR(A276="",C276="",L276="Missing",M276="Missing",O276="0.00",K276="Missing"),"Review","OK")</f>
        <v>Review</v>
      </c>
    </row>
    <row r="277" spans="1:17" x14ac:dyDescent="0.3">
      <c r="A277">
        <v>1090</v>
      </c>
      <c r="B277" t="s">
        <v>900</v>
      </c>
      <c r="C277">
        <v>55</v>
      </c>
      <c r="D277">
        <v>0</v>
      </c>
      <c r="E277" s="3">
        <v>45921</v>
      </c>
      <c r="F277" s="3">
        <v>45461</v>
      </c>
      <c r="G277" t="s">
        <v>901</v>
      </c>
      <c r="H277" t="s">
        <v>19</v>
      </c>
      <c r="I277" t="s">
        <v>902</v>
      </c>
      <c r="J277">
        <v>0</v>
      </c>
      <c r="K277" t="str">
        <f t="shared" si="24"/>
        <v>Autumn Griffin</v>
      </c>
      <c r="L277" t="str">
        <f t="shared" si="25"/>
        <v>Male</v>
      </c>
      <c r="M277" t="str">
        <f t="shared" si="26"/>
        <v>Isabel Harris</v>
      </c>
      <c r="N277" s="4" t="str">
        <f t="shared" si="27"/>
        <v>Orthopedics</v>
      </c>
      <c r="O277" s="6">
        <f t="shared" si="28"/>
        <v>202.41</v>
      </c>
      <c r="P277" s="4" t="str">
        <f t="shared" si="29"/>
        <v>No</v>
      </c>
      <c r="Q277" s="4" t="str">
        <f>IF(OR(A277="",C277="",L277="Missing",M277="Missing",O277="0.00",K277="Missing"),"Review","OK")</f>
        <v>OK</v>
      </c>
    </row>
    <row r="278" spans="1:17" x14ac:dyDescent="0.3">
      <c r="A278">
        <v>1027</v>
      </c>
      <c r="B278" t="s">
        <v>903</v>
      </c>
      <c r="C278">
        <v>83</v>
      </c>
      <c r="D278">
        <v>1</v>
      </c>
      <c r="E278" s="3">
        <v>45834</v>
      </c>
      <c r="F278" s="3">
        <v>45997</v>
      </c>
      <c r="G278" t="s">
        <v>904</v>
      </c>
      <c r="H278" t="s">
        <v>25</v>
      </c>
      <c r="I278" t="s">
        <v>905</v>
      </c>
      <c r="J278" t="s">
        <v>39</v>
      </c>
      <c r="K278" t="str">
        <f t="shared" si="24"/>
        <v>Adam Shelton</v>
      </c>
      <c r="L278" t="str">
        <f t="shared" si="25"/>
        <v>Female</v>
      </c>
      <c r="M278" t="str">
        <f t="shared" si="26"/>
        <v>Mary Thompson</v>
      </c>
      <c r="N278" s="4" t="str">
        <f t="shared" si="27"/>
        <v>Neurology</v>
      </c>
      <c r="O278" s="6">
        <f t="shared" si="28"/>
        <v>225.1</v>
      </c>
      <c r="P278" s="4" t="str">
        <f t="shared" si="29"/>
        <v>Yes</v>
      </c>
      <c r="Q278" s="4" t="str">
        <f>IF(OR(A278="",C278="",L278="Missing",M278="Missing",O278="0.00",K278="Missing"),"Review","OK")</f>
        <v>OK</v>
      </c>
    </row>
    <row r="279" spans="1:17" x14ac:dyDescent="0.3">
      <c r="A279">
        <v>1017</v>
      </c>
      <c r="B279" t="s">
        <v>906</v>
      </c>
      <c r="C279">
        <v>86</v>
      </c>
      <c r="D279" t="s">
        <v>16</v>
      </c>
      <c r="E279" s="3">
        <v>45805</v>
      </c>
      <c r="F279" s="3">
        <v>45572</v>
      </c>
      <c r="G279" t="s">
        <v>907</v>
      </c>
      <c r="H279" t="s">
        <v>13</v>
      </c>
      <c r="J279">
        <v>1</v>
      </c>
      <c r="K279" t="str">
        <f t="shared" si="24"/>
        <v>Amber Trevino</v>
      </c>
      <c r="L279" t="str">
        <f t="shared" si="25"/>
        <v>Female</v>
      </c>
      <c r="M279" t="str">
        <f t="shared" si="26"/>
        <v>Sarah Holder</v>
      </c>
      <c r="N279" s="4" t="str">
        <f t="shared" si="27"/>
        <v>Cardiology</v>
      </c>
      <c r="O279" s="6" t="str">
        <f t="shared" si="28"/>
        <v>0.00</v>
      </c>
      <c r="P279" s="4" t="str">
        <f t="shared" si="29"/>
        <v>Yes</v>
      </c>
      <c r="Q279" s="4" t="str">
        <f>IF(OR(A279="",C279="",L279="Missing",M279="Missing",O279="0.00",K279="Missing"),"Review","OK")</f>
        <v>Review</v>
      </c>
    </row>
    <row r="280" spans="1:17" x14ac:dyDescent="0.3">
      <c r="A280">
        <v>1027</v>
      </c>
      <c r="B280" t="s">
        <v>908</v>
      </c>
      <c r="C280">
        <v>77</v>
      </c>
      <c r="D280" t="s">
        <v>41</v>
      </c>
      <c r="E280" s="3">
        <v>45919</v>
      </c>
      <c r="F280" s="3">
        <v>45524</v>
      </c>
      <c r="G280" t="s">
        <v>909</v>
      </c>
      <c r="H280" t="s">
        <v>13</v>
      </c>
      <c r="I280" t="s">
        <v>910</v>
      </c>
      <c r="J280" t="s">
        <v>21</v>
      </c>
      <c r="K280" t="str">
        <f t="shared" si="24"/>
        <v>Jamie Aguilar</v>
      </c>
      <c r="L280" t="str">
        <f t="shared" si="25"/>
        <v>Female</v>
      </c>
      <c r="M280" t="str">
        <f t="shared" si="26"/>
        <v>Michael Duke</v>
      </c>
      <c r="N280" s="4" t="str">
        <f t="shared" si="27"/>
        <v>Cardiology</v>
      </c>
      <c r="O280" s="6">
        <f t="shared" si="28"/>
        <v>400.01</v>
      </c>
      <c r="P280" s="4" t="str">
        <f t="shared" si="29"/>
        <v>Yes</v>
      </c>
      <c r="Q280" s="4" t="str">
        <f>IF(OR(A280="",C280="",L280="Missing",M280="Missing",O280="0.00",K280="Missing"),"Review","OK")</f>
        <v>OK</v>
      </c>
    </row>
    <row r="281" spans="1:17" x14ac:dyDescent="0.3">
      <c r="A281">
        <v>1026</v>
      </c>
      <c r="B281" t="s">
        <v>911</v>
      </c>
      <c r="C281">
        <v>47</v>
      </c>
      <c r="D281" t="s">
        <v>16</v>
      </c>
      <c r="E281" s="3">
        <v>46028</v>
      </c>
      <c r="F281" s="3">
        <v>45576</v>
      </c>
      <c r="G281" t="s">
        <v>912</v>
      </c>
      <c r="H281" t="s">
        <v>25</v>
      </c>
      <c r="I281" t="s">
        <v>913</v>
      </c>
      <c r="J281" t="s">
        <v>39</v>
      </c>
      <c r="K281" t="str">
        <f t="shared" si="24"/>
        <v>Alyssa Lucas</v>
      </c>
      <c r="L281" t="str">
        <f t="shared" si="25"/>
        <v>Female</v>
      </c>
      <c r="M281" t="str">
        <f t="shared" si="26"/>
        <v>Daniel Ryan</v>
      </c>
      <c r="N281" s="4" t="str">
        <f t="shared" si="27"/>
        <v>Neurology</v>
      </c>
      <c r="O281" s="6">
        <f t="shared" si="28"/>
        <v>400.52</v>
      </c>
      <c r="P281" s="4" t="str">
        <f t="shared" si="29"/>
        <v>Yes</v>
      </c>
      <c r="Q281" s="4" t="str">
        <f>IF(OR(A281="",C281="",L281="Missing",M281="Missing",O281="0.00",K281="Missing"),"Review","OK")</f>
        <v>OK</v>
      </c>
    </row>
    <row r="282" spans="1:17" x14ac:dyDescent="0.3">
      <c r="A282">
        <v>1080</v>
      </c>
      <c r="B282" t="s">
        <v>914</v>
      </c>
      <c r="C282">
        <v>69</v>
      </c>
      <c r="D282" t="s">
        <v>76</v>
      </c>
      <c r="E282" s="3" t="s">
        <v>915</v>
      </c>
      <c r="F282" s="3">
        <v>45819</v>
      </c>
      <c r="G282" t="s">
        <v>916</v>
      </c>
      <c r="H282" t="s">
        <v>29</v>
      </c>
      <c r="I282" t="s">
        <v>917</v>
      </c>
      <c r="J282">
        <v>0</v>
      </c>
      <c r="K282" t="str">
        <f t="shared" si="24"/>
        <v>Theresa Young</v>
      </c>
      <c r="L282" t="str">
        <f t="shared" si="25"/>
        <v>Male</v>
      </c>
      <c r="M282" t="str">
        <f t="shared" si="26"/>
        <v>Brenda Booth</v>
      </c>
      <c r="N282" s="4" t="str">
        <f t="shared" si="27"/>
        <v>General</v>
      </c>
      <c r="O282" s="6">
        <f t="shared" si="28"/>
        <v>152.69999999999999</v>
      </c>
      <c r="P282" s="4" t="str">
        <f t="shared" si="29"/>
        <v>No</v>
      </c>
      <c r="Q282" s="4" t="str">
        <f>IF(OR(A282="",C282="",L282="Missing",M282="Missing",O282="0.00",K282="Missing"),"Review","OK")</f>
        <v>OK</v>
      </c>
    </row>
    <row r="283" spans="1:17" x14ac:dyDescent="0.3">
      <c r="A283">
        <v>1039</v>
      </c>
      <c r="B283" t="s">
        <v>918</v>
      </c>
      <c r="C283">
        <v>40</v>
      </c>
      <c r="D283">
        <v>0</v>
      </c>
      <c r="E283" s="3">
        <v>45725</v>
      </c>
      <c r="F283" s="3">
        <v>45508</v>
      </c>
      <c r="G283" t="s">
        <v>919</v>
      </c>
      <c r="H283" t="s">
        <v>13</v>
      </c>
      <c r="I283" t="s">
        <v>920</v>
      </c>
      <c r="J283" t="s">
        <v>39</v>
      </c>
      <c r="K283" t="str">
        <f t="shared" si="24"/>
        <v>Donna Clark</v>
      </c>
      <c r="L283" t="str">
        <f t="shared" si="25"/>
        <v>Male</v>
      </c>
      <c r="M283" t="str">
        <f t="shared" si="26"/>
        <v>Joanne Adams</v>
      </c>
      <c r="N283" s="4" t="str">
        <f t="shared" si="27"/>
        <v>Cardiology</v>
      </c>
      <c r="O283" s="6">
        <f t="shared" si="28"/>
        <v>154.68</v>
      </c>
      <c r="P283" s="4" t="str">
        <f t="shared" si="29"/>
        <v>Yes</v>
      </c>
      <c r="Q283" s="4" t="str">
        <f>IF(OR(A283="",C283="",L283="Missing",M283="Missing",O283="0.00",K283="Missing"),"Review","OK")</f>
        <v>OK</v>
      </c>
    </row>
    <row r="284" spans="1:17" x14ac:dyDescent="0.3">
      <c r="A284">
        <v>1059</v>
      </c>
      <c r="B284" t="s">
        <v>921</v>
      </c>
      <c r="C284">
        <v>32</v>
      </c>
      <c r="D284" t="s">
        <v>56</v>
      </c>
      <c r="E284" s="3">
        <v>46092</v>
      </c>
      <c r="F284" s="3">
        <v>45861</v>
      </c>
      <c r="G284" t="s">
        <v>922</v>
      </c>
      <c r="H284" t="s">
        <v>29</v>
      </c>
      <c r="I284" t="s">
        <v>923</v>
      </c>
      <c r="J284" t="s">
        <v>39</v>
      </c>
      <c r="K284" t="str">
        <f t="shared" si="24"/>
        <v>Michael White</v>
      </c>
      <c r="L284" t="str">
        <f t="shared" si="25"/>
        <v>Male</v>
      </c>
      <c r="M284" t="str">
        <f t="shared" si="26"/>
        <v>Seth Ramirez</v>
      </c>
      <c r="N284" s="4" t="str">
        <f t="shared" si="27"/>
        <v>General</v>
      </c>
      <c r="O284" s="6">
        <f t="shared" si="28"/>
        <v>300.70999999999998</v>
      </c>
      <c r="P284" s="4" t="str">
        <f t="shared" si="29"/>
        <v>Yes</v>
      </c>
      <c r="Q284" s="4" t="str">
        <f>IF(OR(A284="",C284="",L284="Missing",M284="Missing",O284="0.00",K284="Missing"),"Review","OK")</f>
        <v>OK</v>
      </c>
    </row>
    <row r="285" spans="1:17" x14ac:dyDescent="0.3">
      <c r="A285">
        <v>1043</v>
      </c>
      <c r="B285" t="s">
        <v>924</v>
      </c>
      <c r="C285">
        <v>66</v>
      </c>
      <c r="D285">
        <v>1</v>
      </c>
      <c r="E285" s="3">
        <v>45983</v>
      </c>
      <c r="F285" s="3">
        <v>45907</v>
      </c>
      <c r="G285" t="s">
        <v>925</v>
      </c>
      <c r="H285" t="s">
        <v>25</v>
      </c>
      <c r="I285" t="s">
        <v>926</v>
      </c>
      <c r="J285" t="s">
        <v>39</v>
      </c>
      <c r="K285" t="str">
        <f t="shared" si="24"/>
        <v>Jessica Johnson</v>
      </c>
      <c r="L285" t="str">
        <f t="shared" si="25"/>
        <v>Female</v>
      </c>
      <c r="M285" t="str">
        <f t="shared" si="26"/>
        <v>Kevin Weaver</v>
      </c>
      <c r="N285" s="4" t="str">
        <f t="shared" si="27"/>
        <v>Neurology</v>
      </c>
      <c r="O285" s="6">
        <f t="shared" si="28"/>
        <v>166.59</v>
      </c>
      <c r="P285" s="4" t="str">
        <f t="shared" si="29"/>
        <v>Yes</v>
      </c>
      <c r="Q285" s="4" t="str">
        <f>IF(OR(A285="",C285="",L285="Missing",M285="Missing",O285="0.00",K285="Missing"),"Review","OK")</f>
        <v>OK</v>
      </c>
    </row>
    <row r="286" spans="1:17" x14ac:dyDescent="0.3">
      <c r="A286">
        <v>1066</v>
      </c>
      <c r="B286" t="s">
        <v>927</v>
      </c>
      <c r="C286">
        <v>28</v>
      </c>
      <c r="D286" t="s">
        <v>76</v>
      </c>
      <c r="E286" s="3">
        <v>45910</v>
      </c>
      <c r="F286" s="3">
        <v>45768</v>
      </c>
      <c r="G286" t="s">
        <v>928</v>
      </c>
      <c r="H286" t="s">
        <v>13</v>
      </c>
      <c r="I286" t="s">
        <v>929</v>
      </c>
      <c r="J286">
        <v>1</v>
      </c>
      <c r="K286" t="str">
        <f t="shared" si="24"/>
        <v>Victor Anderson Md</v>
      </c>
      <c r="L286" t="str">
        <f t="shared" si="25"/>
        <v>Male</v>
      </c>
      <c r="M286" t="str">
        <f t="shared" si="26"/>
        <v>Dr. William Terry</v>
      </c>
      <c r="N286" s="4" t="str">
        <f t="shared" si="27"/>
        <v>Cardiology</v>
      </c>
      <c r="O286" s="6">
        <f t="shared" si="28"/>
        <v>357.83</v>
      </c>
      <c r="P286" s="4" t="str">
        <f t="shared" si="29"/>
        <v>Yes</v>
      </c>
      <c r="Q286" s="4" t="str">
        <f>IF(OR(A286="",C286="",L286="Missing",M286="Missing",O286="0.00",K286="Missing"),"Review","OK")</f>
        <v>OK</v>
      </c>
    </row>
    <row r="287" spans="1:17" x14ac:dyDescent="0.3">
      <c r="A287">
        <v>1040</v>
      </c>
      <c r="B287" t="s">
        <v>930</v>
      </c>
      <c r="C287">
        <v>35</v>
      </c>
      <c r="D287" t="s">
        <v>23</v>
      </c>
      <c r="E287" s="3">
        <v>45888</v>
      </c>
      <c r="F287" s="3">
        <v>45823</v>
      </c>
      <c r="G287" t="s">
        <v>931</v>
      </c>
      <c r="H287" t="s">
        <v>29</v>
      </c>
      <c r="I287" t="s">
        <v>932</v>
      </c>
      <c r="J287" t="s">
        <v>65</v>
      </c>
      <c r="K287" t="str">
        <f t="shared" si="24"/>
        <v>Jodi Floyd</v>
      </c>
      <c r="L287" t="str">
        <f t="shared" si="25"/>
        <v>Male</v>
      </c>
      <c r="M287" t="str">
        <f t="shared" si="26"/>
        <v>Brett Arnold</v>
      </c>
      <c r="N287" s="4" t="str">
        <f t="shared" si="27"/>
        <v>General</v>
      </c>
      <c r="O287" s="6">
        <f t="shared" si="28"/>
        <v>458.11</v>
      </c>
      <c r="P287" s="4" t="str">
        <f t="shared" si="29"/>
        <v>No</v>
      </c>
      <c r="Q287" s="4" t="str">
        <f>IF(OR(A287="",C287="",L287="Missing",M287="Missing",O287="0.00",K287="Missing"),"Review","OK")</f>
        <v>OK</v>
      </c>
    </row>
    <row r="288" spans="1:17" x14ac:dyDescent="0.3">
      <c r="A288">
        <v>1090</v>
      </c>
      <c r="B288" t="s">
        <v>933</v>
      </c>
      <c r="C288">
        <v>25</v>
      </c>
      <c r="D288" t="s">
        <v>41</v>
      </c>
      <c r="E288" s="3" t="s">
        <v>934</v>
      </c>
      <c r="F288" s="3" t="s">
        <v>935</v>
      </c>
      <c r="G288" t="s">
        <v>936</v>
      </c>
      <c r="H288" t="s">
        <v>29</v>
      </c>
      <c r="I288" t="s">
        <v>937</v>
      </c>
      <c r="J288">
        <v>1</v>
      </c>
      <c r="K288" t="str">
        <f t="shared" si="24"/>
        <v>Bradley Leach</v>
      </c>
      <c r="L288" t="str">
        <f t="shared" si="25"/>
        <v>Female</v>
      </c>
      <c r="M288" t="str">
        <f t="shared" si="26"/>
        <v>Amanda Flores</v>
      </c>
      <c r="N288" s="4" t="str">
        <f t="shared" si="27"/>
        <v>General</v>
      </c>
      <c r="O288" s="6">
        <f t="shared" si="28"/>
        <v>85.07</v>
      </c>
      <c r="P288" s="4" t="str">
        <f t="shared" si="29"/>
        <v>Yes</v>
      </c>
      <c r="Q288" s="4" t="str">
        <f>IF(OR(A288="",C288="",L288="Missing",M288="Missing",O288="0.00",K288="Missing"),"Review","OK")</f>
        <v>OK</v>
      </c>
    </row>
    <row r="289" spans="1:17" x14ac:dyDescent="0.3">
      <c r="A289">
        <v>1003</v>
      </c>
      <c r="B289" t="s">
        <v>938</v>
      </c>
      <c r="C289">
        <v>81</v>
      </c>
      <c r="D289" t="s">
        <v>11</v>
      </c>
      <c r="E289" s="3">
        <v>45799</v>
      </c>
      <c r="F289" s="3">
        <v>45397</v>
      </c>
      <c r="G289" t="s">
        <v>939</v>
      </c>
      <c r="H289" t="s">
        <v>25</v>
      </c>
      <c r="I289" t="s">
        <v>940</v>
      </c>
      <c r="J289" t="s">
        <v>21</v>
      </c>
      <c r="K289" t="str">
        <f t="shared" si="24"/>
        <v>Stephen Butler</v>
      </c>
      <c r="L289" t="str">
        <f t="shared" si="25"/>
        <v>Female</v>
      </c>
      <c r="M289" t="str">
        <f t="shared" si="26"/>
        <v>Shannon Martinez</v>
      </c>
      <c r="N289" s="4" t="str">
        <f t="shared" si="27"/>
        <v>Neurology</v>
      </c>
      <c r="O289" s="6">
        <f t="shared" si="28"/>
        <v>209.67</v>
      </c>
      <c r="P289" s="4" t="str">
        <f t="shared" si="29"/>
        <v>Yes</v>
      </c>
      <c r="Q289" s="4" t="str">
        <f>IF(OR(A289="",C289="",L289="Missing",M289="Missing",O289="0.00",K289="Missing"),"Review","OK")</f>
        <v>OK</v>
      </c>
    </row>
    <row r="290" spans="1:17" x14ac:dyDescent="0.3">
      <c r="A290">
        <v>1054</v>
      </c>
      <c r="B290" t="s">
        <v>941</v>
      </c>
      <c r="C290">
        <v>30</v>
      </c>
      <c r="D290" t="s">
        <v>56</v>
      </c>
      <c r="E290" s="3">
        <v>46075</v>
      </c>
      <c r="F290" s="3">
        <v>45754</v>
      </c>
      <c r="G290" t="s">
        <v>942</v>
      </c>
      <c r="H290" t="s">
        <v>29</v>
      </c>
      <c r="I290" t="s">
        <v>943</v>
      </c>
      <c r="J290" t="s">
        <v>65</v>
      </c>
      <c r="K290" t="str">
        <f t="shared" si="24"/>
        <v>Jennifer Martin</v>
      </c>
      <c r="L290" t="str">
        <f t="shared" si="25"/>
        <v>Male</v>
      </c>
      <c r="M290" t="str">
        <f t="shared" si="26"/>
        <v>Jeffery Smith</v>
      </c>
      <c r="N290" s="4" t="str">
        <f t="shared" si="27"/>
        <v>General</v>
      </c>
      <c r="O290" s="6">
        <f t="shared" si="28"/>
        <v>239.39</v>
      </c>
      <c r="P290" s="4" t="str">
        <f t="shared" si="29"/>
        <v>No</v>
      </c>
      <c r="Q290" s="4" t="str">
        <f>IF(OR(A290="",C290="",L290="Missing",M290="Missing",O290="0.00",K290="Missing"),"Review","OK")</f>
        <v>OK</v>
      </c>
    </row>
    <row r="291" spans="1:17" x14ac:dyDescent="0.3">
      <c r="A291">
        <v>1003</v>
      </c>
      <c r="B291" t="s">
        <v>944</v>
      </c>
      <c r="C291">
        <v>41</v>
      </c>
      <c r="D291">
        <v>0</v>
      </c>
      <c r="E291" s="3">
        <v>45791</v>
      </c>
      <c r="F291" s="3">
        <v>45416</v>
      </c>
      <c r="G291" t="s">
        <v>553</v>
      </c>
      <c r="H291" t="s">
        <v>29</v>
      </c>
      <c r="I291" t="s">
        <v>945</v>
      </c>
      <c r="J291" t="s">
        <v>31</v>
      </c>
      <c r="K291" t="str">
        <f t="shared" si="24"/>
        <v>Janet Gordon</v>
      </c>
      <c r="L291" t="str">
        <f t="shared" si="25"/>
        <v>Male</v>
      </c>
      <c r="M291" t="str">
        <f t="shared" si="26"/>
        <v>Michelle Johnson</v>
      </c>
      <c r="N291" s="4" t="str">
        <f t="shared" si="27"/>
        <v>General</v>
      </c>
      <c r="O291" s="6">
        <f t="shared" si="28"/>
        <v>398.73</v>
      </c>
      <c r="P291" s="4" t="str">
        <f t="shared" si="29"/>
        <v>No</v>
      </c>
      <c r="Q291" s="4" t="str">
        <f>IF(OR(A291="",C291="",L291="Missing",M291="Missing",O291="0.00",K291="Missing"),"Review","OK")</f>
        <v>OK</v>
      </c>
    </row>
    <row r="292" spans="1:17" x14ac:dyDescent="0.3">
      <c r="A292">
        <v>1011</v>
      </c>
      <c r="B292" t="s">
        <v>946</v>
      </c>
      <c r="C292">
        <v>54</v>
      </c>
      <c r="D292">
        <v>0</v>
      </c>
      <c r="E292" s="3">
        <v>46066</v>
      </c>
      <c r="F292" s="3">
        <v>45602</v>
      </c>
      <c r="G292" t="s">
        <v>947</v>
      </c>
      <c r="H292" t="s">
        <v>19</v>
      </c>
      <c r="I292" t="s">
        <v>948</v>
      </c>
      <c r="J292" t="s">
        <v>65</v>
      </c>
      <c r="K292" t="str">
        <f t="shared" si="24"/>
        <v>Susan Bautista</v>
      </c>
      <c r="L292" t="str">
        <f t="shared" si="25"/>
        <v>Male</v>
      </c>
      <c r="M292" t="str">
        <f t="shared" si="26"/>
        <v>Michael Schmidt</v>
      </c>
      <c r="N292" s="4" t="str">
        <f t="shared" si="27"/>
        <v>Orthopedics</v>
      </c>
      <c r="O292" s="6">
        <f t="shared" si="28"/>
        <v>325.86</v>
      </c>
      <c r="P292" s="4" t="str">
        <f t="shared" si="29"/>
        <v>No</v>
      </c>
      <c r="Q292" s="4" t="str">
        <f>IF(OR(A292="",C292="",L292="Missing",M292="Missing",O292="0.00",K292="Missing"),"Review","OK")</f>
        <v>OK</v>
      </c>
    </row>
    <row r="293" spans="1:17" x14ac:dyDescent="0.3">
      <c r="A293">
        <v>1029</v>
      </c>
      <c r="B293" t="s">
        <v>949</v>
      </c>
      <c r="C293">
        <v>30</v>
      </c>
      <c r="D293" t="s">
        <v>16</v>
      </c>
      <c r="E293" s="3">
        <v>45857</v>
      </c>
      <c r="F293" s="3">
        <v>45789</v>
      </c>
      <c r="G293" t="s">
        <v>950</v>
      </c>
      <c r="H293" t="s">
        <v>19</v>
      </c>
      <c r="I293" t="s">
        <v>951</v>
      </c>
      <c r="J293" t="s">
        <v>65</v>
      </c>
      <c r="K293" t="str">
        <f t="shared" si="24"/>
        <v>Steve Ramirez</v>
      </c>
      <c r="L293" t="str">
        <f t="shared" si="25"/>
        <v>Female</v>
      </c>
      <c r="M293" t="str">
        <f t="shared" si="26"/>
        <v>Michelle Jones</v>
      </c>
      <c r="N293" s="4" t="str">
        <f t="shared" si="27"/>
        <v>Orthopedics</v>
      </c>
      <c r="O293" s="6">
        <f t="shared" si="28"/>
        <v>451.11</v>
      </c>
      <c r="P293" s="4" t="str">
        <f t="shared" si="29"/>
        <v>No</v>
      </c>
      <c r="Q293" s="4" t="str">
        <f>IF(OR(A293="",C293="",L293="Missing",M293="Missing",O293="0.00",K293="Missing"),"Review","OK")</f>
        <v>OK</v>
      </c>
    </row>
    <row r="294" spans="1:17" x14ac:dyDescent="0.3">
      <c r="A294">
        <v>1051</v>
      </c>
      <c r="B294" t="s">
        <v>952</v>
      </c>
      <c r="C294">
        <v>53</v>
      </c>
      <c r="D294">
        <v>0</v>
      </c>
      <c r="E294" s="3">
        <v>45837</v>
      </c>
      <c r="F294" s="3">
        <v>45548</v>
      </c>
      <c r="G294" t="s">
        <v>953</v>
      </c>
      <c r="H294" t="s">
        <v>25</v>
      </c>
      <c r="I294" t="s">
        <v>954</v>
      </c>
      <c r="J294" t="s">
        <v>31</v>
      </c>
      <c r="K294" t="str">
        <f t="shared" si="24"/>
        <v>Kristine Logan</v>
      </c>
      <c r="L294" t="str">
        <f t="shared" si="25"/>
        <v>Male</v>
      </c>
      <c r="M294" t="str">
        <f t="shared" si="26"/>
        <v>Regina Cox</v>
      </c>
      <c r="N294" s="4" t="str">
        <f t="shared" si="27"/>
        <v>Neurology</v>
      </c>
      <c r="O294" s="6">
        <f t="shared" si="28"/>
        <v>416.39</v>
      </c>
      <c r="P294" s="4" t="str">
        <f t="shared" si="29"/>
        <v>No</v>
      </c>
      <c r="Q294" s="4" t="str">
        <f>IF(OR(A294="",C294="",L294="Missing",M294="Missing",O294="0.00",K294="Missing"),"Review","OK")</f>
        <v>OK</v>
      </c>
    </row>
    <row r="295" spans="1:17" x14ac:dyDescent="0.3">
      <c r="A295">
        <v>1041</v>
      </c>
      <c r="B295" t="s">
        <v>955</v>
      </c>
      <c r="C295">
        <v>65</v>
      </c>
      <c r="D295">
        <v>1</v>
      </c>
      <c r="E295" s="3">
        <v>45958</v>
      </c>
      <c r="F295" s="3">
        <v>45887</v>
      </c>
      <c r="G295" t="s">
        <v>956</v>
      </c>
      <c r="H295" t="s">
        <v>25</v>
      </c>
      <c r="I295" t="s">
        <v>957</v>
      </c>
      <c r="J295" t="s">
        <v>65</v>
      </c>
      <c r="K295" t="str">
        <f t="shared" si="24"/>
        <v>Janet Lewis</v>
      </c>
      <c r="L295" t="str">
        <f t="shared" si="25"/>
        <v>Female</v>
      </c>
      <c r="M295" t="str">
        <f t="shared" si="26"/>
        <v>Gregory Neal</v>
      </c>
      <c r="N295" s="4" t="str">
        <f t="shared" si="27"/>
        <v>Neurology</v>
      </c>
      <c r="O295" s="6">
        <f t="shared" si="28"/>
        <v>303.42</v>
      </c>
      <c r="P295" s="4" t="str">
        <f t="shared" si="29"/>
        <v>No</v>
      </c>
      <c r="Q295" s="4" t="str">
        <f>IF(OR(A295="",C295="",L295="Missing",M295="Missing",O295="0.00",K295="Missing"),"Review","OK")</f>
        <v>OK</v>
      </c>
    </row>
    <row r="296" spans="1:17" x14ac:dyDescent="0.3">
      <c r="A296">
        <v>1004</v>
      </c>
      <c r="B296" t="s">
        <v>958</v>
      </c>
      <c r="C296">
        <v>64</v>
      </c>
      <c r="E296" s="3">
        <v>46359</v>
      </c>
      <c r="F296" s="3">
        <v>45447</v>
      </c>
      <c r="G296" t="s">
        <v>959</v>
      </c>
      <c r="H296" t="s">
        <v>29</v>
      </c>
      <c r="I296" t="s">
        <v>960</v>
      </c>
      <c r="J296">
        <v>1</v>
      </c>
      <c r="K296" t="str">
        <f t="shared" si="24"/>
        <v>Phillip Blevins</v>
      </c>
      <c r="L296" t="str">
        <f t="shared" si="25"/>
        <v>Missing</v>
      </c>
      <c r="M296" t="str">
        <f t="shared" si="26"/>
        <v>Darryl Garcia</v>
      </c>
      <c r="N296" s="4" t="str">
        <f t="shared" si="27"/>
        <v>General</v>
      </c>
      <c r="O296" s="6">
        <f t="shared" si="28"/>
        <v>124.85</v>
      </c>
      <c r="P296" s="4" t="str">
        <f t="shared" si="29"/>
        <v>Yes</v>
      </c>
      <c r="Q296" s="4" t="str">
        <f>IF(OR(A296="",C296="",L296="Missing",M296="Missing",O296="0.00",K296="Missing"),"Review","OK")</f>
        <v>Review</v>
      </c>
    </row>
    <row r="297" spans="1:17" x14ac:dyDescent="0.3">
      <c r="A297">
        <v>1054</v>
      </c>
      <c r="B297" t="s">
        <v>961</v>
      </c>
      <c r="C297">
        <v>78</v>
      </c>
      <c r="D297" t="s">
        <v>76</v>
      </c>
      <c r="E297" s="3">
        <v>46016</v>
      </c>
      <c r="F297" s="3">
        <v>45639</v>
      </c>
      <c r="G297" t="s">
        <v>962</v>
      </c>
      <c r="H297" t="s">
        <v>25</v>
      </c>
      <c r="I297" t="s">
        <v>963</v>
      </c>
      <c r="J297" t="s">
        <v>31</v>
      </c>
      <c r="K297" t="str">
        <f t="shared" si="24"/>
        <v>Robert Mason</v>
      </c>
      <c r="L297" t="str">
        <f t="shared" si="25"/>
        <v>Male</v>
      </c>
      <c r="M297" t="str">
        <f t="shared" si="26"/>
        <v>Steven Mercer</v>
      </c>
      <c r="N297" s="4" t="str">
        <f t="shared" si="27"/>
        <v>Neurology</v>
      </c>
      <c r="O297" s="6">
        <f t="shared" si="28"/>
        <v>370.37</v>
      </c>
      <c r="P297" s="4" t="str">
        <f t="shared" si="29"/>
        <v>No</v>
      </c>
      <c r="Q297" s="4" t="str">
        <f>IF(OR(A297="",C297="",L297="Missing",M297="Missing",O297="0.00",K297="Missing"),"Review","OK")</f>
        <v>OK</v>
      </c>
    </row>
    <row r="298" spans="1:17" x14ac:dyDescent="0.3">
      <c r="A298">
        <v>1006</v>
      </c>
      <c r="B298" t="s">
        <v>964</v>
      </c>
      <c r="C298">
        <v>63</v>
      </c>
      <c r="D298" t="s">
        <v>23</v>
      </c>
      <c r="E298" s="3">
        <v>46004</v>
      </c>
      <c r="F298" s="3">
        <v>45721</v>
      </c>
      <c r="G298" t="s">
        <v>965</v>
      </c>
      <c r="H298" t="s">
        <v>25</v>
      </c>
      <c r="I298" t="s">
        <v>966</v>
      </c>
      <c r="J298" t="s">
        <v>65</v>
      </c>
      <c r="K298" t="str">
        <f t="shared" si="24"/>
        <v>Rachel Nguyen</v>
      </c>
      <c r="L298" t="str">
        <f t="shared" si="25"/>
        <v>Male</v>
      </c>
      <c r="M298" t="str">
        <f t="shared" si="26"/>
        <v>John Wolf</v>
      </c>
      <c r="N298" s="4" t="str">
        <f t="shared" si="27"/>
        <v>Neurology</v>
      </c>
      <c r="O298" s="6">
        <f t="shared" si="28"/>
        <v>416.85</v>
      </c>
      <c r="P298" s="4" t="str">
        <f t="shared" si="29"/>
        <v>No</v>
      </c>
      <c r="Q298" s="4" t="str">
        <f>IF(OR(A298="",C298="",L298="Missing",M298="Missing",O298="0.00",K298="Missing"),"Review","OK")</f>
        <v>OK</v>
      </c>
    </row>
    <row r="299" spans="1:17" x14ac:dyDescent="0.3">
      <c r="A299">
        <v>1076</v>
      </c>
      <c r="B299" t="s">
        <v>967</v>
      </c>
      <c r="C299">
        <v>23</v>
      </c>
      <c r="D299" t="s">
        <v>76</v>
      </c>
      <c r="E299" s="3">
        <v>45935</v>
      </c>
      <c r="F299" s="3">
        <v>45736</v>
      </c>
      <c r="G299" t="s">
        <v>968</v>
      </c>
      <c r="H299" t="s">
        <v>29</v>
      </c>
      <c r="J299" t="s">
        <v>31</v>
      </c>
      <c r="K299" t="str">
        <f t="shared" si="24"/>
        <v>John Nguyen</v>
      </c>
      <c r="L299" t="str">
        <f t="shared" si="25"/>
        <v>Male</v>
      </c>
      <c r="M299" t="str">
        <f t="shared" si="26"/>
        <v>David Robertson</v>
      </c>
      <c r="N299" s="4" t="str">
        <f t="shared" si="27"/>
        <v>General</v>
      </c>
      <c r="O299" s="6" t="str">
        <f t="shared" si="28"/>
        <v>0.00</v>
      </c>
      <c r="P299" s="4" t="str">
        <f t="shared" si="29"/>
        <v>No</v>
      </c>
      <c r="Q299" s="4" t="str">
        <f>IF(OR(A299="",C299="",L299="Missing",M299="Missing",O299="0.00",K299="Missing"),"Review","OK")</f>
        <v>Review</v>
      </c>
    </row>
    <row r="300" spans="1:17" x14ac:dyDescent="0.3">
      <c r="A300">
        <v>1054</v>
      </c>
      <c r="B300" t="s">
        <v>969</v>
      </c>
      <c r="C300">
        <v>70</v>
      </c>
      <c r="D300">
        <v>0</v>
      </c>
      <c r="E300" s="3">
        <v>45727</v>
      </c>
      <c r="F300" s="3" t="s">
        <v>970</v>
      </c>
      <c r="G300" t="s">
        <v>971</v>
      </c>
      <c r="H300" t="s">
        <v>13</v>
      </c>
      <c r="I300" t="s">
        <v>972</v>
      </c>
      <c r="J300" t="s">
        <v>39</v>
      </c>
      <c r="K300" t="str">
        <f t="shared" si="24"/>
        <v>Jennifer Stevens</v>
      </c>
      <c r="L300" t="str">
        <f t="shared" si="25"/>
        <v>Male</v>
      </c>
      <c r="M300" t="str">
        <f t="shared" si="26"/>
        <v>Joseph Park</v>
      </c>
      <c r="N300" s="4" t="str">
        <f t="shared" si="27"/>
        <v>Cardiology</v>
      </c>
      <c r="O300" s="6">
        <f t="shared" si="28"/>
        <v>231.18</v>
      </c>
      <c r="P300" s="4" t="str">
        <f t="shared" si="29"/>
        <v>Yes</v>
      </c>
      <c r="Q300" s="4" t="str">
        <f>IF(OR(A300="",C300="",L300="Missing",M300="Missing",O300="0.00",K300="Missing"),"Review","OK")</f>
        <v>OK</v>
      </c>
    </row>
    <row r="301" spans="1:17" x14ac:dyDescent="0.3">
      <c r="A301">
        <v>1021</v>
      </c>
      <c r="B301" t="s">
        <v>973</v>
      </c>
      <c r="C301">
        <v>54</v>
      </c>
      <c r="D301" t="s">
        <v>56</v>
      </c>
      <c r="E301" s="3">
        <v>45920</v>
      </c>
      <c r="F301" s="3">
        <v>45467</v>
      </c>
      <c r="G301" t="s">
        <v>974</v>
      </c>
      <c r="H301" t="s">
        <v>13</v>
      </c>
      <c r="I301" t="s">
        <v>975</v>
      </c>
      <c r="J301">
        <v>0</v>
      </c>
      <c r="K301" t="str">
        <f t="shared" si="24"/>
        <v>Matthew Davis</v>
      </c>
      <c r="L301" t="str">
        <f t="shared" si="25"/>
        <v>Male</v>
      </c>
      <c r="M301" t="str">
        <f t="shared" si="26"/>
        <v>Megan Lopez</v>
      </c>
      <c r="N301" s="4" t="str">
        <f t="shared" si="27"/>
        <v>Cardiology</v>
      </c>
      <c r="O301" s="6">
        <f t="shared" si="28"/>
        <v>119.4</v>
      </c>
      <c r="P301" s="4" t="str">
        <f t="shared" si="29"/>
        <v>No</v>
      </c>
      <c r="Q301" s="4" t="str">
        <f>IF(OR(A301="",C301="",L301="Missing",M301="Missing",O301="0.00",K301="Missing"),"Review","OK")</f>
        <v>OK</v>
      </c>
    </row>
    <row r="302" spans="1:17" x14ac:dyDescent="0.3">
      <c r="A302">
        <v>1015</v>
      </c>
      <c r="B302" t="s">
        <v>976</v>
      </c>
      <c r="C302">
        <v>50</v>
      </c>
      <c r="D302">
        <v>0</v>
      </c>
      <c r="E302" s="3">
        <v>45894</v>
      </c>
      <c r="F302" s="3">
        <v>45461</v>
      </c>
      <c r="G302" t="s">
        <v>977</v>
      </c>
      <c r="H302" t="s">
        <v>25</v>
      </c>
      <c r="I302" t="s">
        <v>978</v>
      </c>
      <c r="J302" t="s">
        <v>39</v>
      </c>
      <c r="K302" t="str">
        <f t="shared" si="24"/>
        <v>Ashley Daniels</v>
      </c>
      <c r="L302" t="str">
        <f t="shared" si="25"/>
        <v>Male</v>
      </c>
      <c r="M302" t="str">
        <f t="shared" si="26"/>
        <v>Robert Davies</v>
      </c>
      <c r="N302" s="4" t="str">
        <f t="shared" si="27"/>
        <v>Neurology</v>
      </c>
      <c r="O302" s="6">
        <f t="shared" si="28"/>
        <v>63.38</v>
      </c>
      <c r="P302" s="4" t="str">
        <f t="shared" si="29"/>
        <v>Yes</v>
      </c>
      <c r="Q302" s="4" t="str">
        <f>IF(OR(A302="",C302="",L302="Missing",M302="Missing",O302="0.00",K302="Missing"),"Review","OK")</f>
        <v>OK</v>
      </c>
    </row>
    <row r="303" spans="1:17" x14ac:dyDescent="0.3">
      <c r="A303">
        <v>1014</v>
      </c>
      <c r="B303" t="s">
        <v>979</v>
      </c>
      <c r="C303">
        <v>79</v>
      </c>
      <c r="D303">
        <v>0</v>
      </c>
      <c r="E303" s="3">
        <v>46050</v>
      </c>
      <c r="F303" s="3">
        <v>45385</v>
      </c>
      <c r="G303" t="s">
        <v>980</v>
      </c>
      <c r="H303" t="s">
        <v>25</v>
      </c>
      <c r="I303" t="s">
        <v>981</v>
      </c>
      <c r="J303" t="s">
        <v>39</v>
      </c>
      <c r="K303" t="str">
        <f t="shared" si="24"/>
        <v>Dana Park</v>
      </c>
      <c r="L303" t="str">
        <f t="shared" si="25"/>
        <v>Male</v>
      </c>
      <c r="M303" t="str">
        <f t="shared" si="26"/>
        <v>Christopher Garrett</v>
      </c>
      <c r="N303" s="4" t="str">
        <f t="shared" si="27"/>
        <v>Neurology</v>
      </c>
      <c r="O303" s="6">
        <f t="shared" si="28"/>
        <v>341.27</v>
      </c>
      <c r="P303" s="4" t="str">
        <f t="shared" si="29"/>
        <v>Yes</v>
      </c>
      <c r="Q303" s="4" t="str">
        <f>IF(OR(A303="",C303="",L303="Missing",M303="Missing",O303="0.00",K303="Missing"),"Review","OK")</f>
        <v>OK</v>
      </c>
    </row>
    <row r="304" spans="1:17" x14ac:dyDescent="0.3">
      <c r="A304">
        <v>1088</v>
      </c>
      <c r="B304" t="s">
        <v>982</v>
      </c>
      <c r="C304">
        <v>83</v>
      </c>
      <c r="D304" t="s">
        <v>76</v>
      </c>
      <c r="E304" s="3">
        <v>46082</v>
      </c>
      <c r="F304" s="3">
        <v>45647</v>
      </c>
      <c r="G304" t="s">
        <v>983</v>
      </c>
      <c r="H304" t="s">
        <v>19</v>
      </c>
      <c r="I304" t="s">
        <v>984</v>
      </c>
      <c r="J304" t="s">
        <v>39</v>
      </c>
      <c r="K304" t="str">
        <f t="shared" si="24"/>
        <v>Michael Short</v>
      </c>
      <c r="L304" t="str">
        <f t="shared" si="25"/>
        <v>Male</v>
      </c>
      <c r="M304" t="str">
        <f t="shared" si="26"/>
        <v>Charles Hess</v>
      </c>
      <c r="N304" s="4" t="str">
        <f t="shared" si="27"/>
        <v>Orthopedics</v>
      </c>
      <c r="O304" s="6">
        <f t="shared" si="28"/>
        <v>483.19</v>
      </c>
      <c r="P304" s="4" t="str">
        <f t="shared" si="29"/>
        <v>Yes</v>
      </c>
      <c r="Q304" s="4" t="str">
        <f>IF(OR(A304="",C304="",L304="Missing",M304="Missing",O304="0.00",K304="Missing"),"Review","OK")</f>
        <v>OK</v>
      </c>
    </row>
    <row r="305" spans="1:17" x14ac:dyDescent="0.3">
      <c r="A305">
        <v>1034</v>
      </c>
      <c r="B305" t="s">
        <v>985</v>
      </c>
      <c r="C305">
        <v>37</v>
      </c>
      <c r="D305">
        <v>0</v>
      </c>
      <c r="E305" s="3">
        <v>45939</v>
      </c>
      <c r="F305" s="3">
        <v>45752</v>
      </c>
      <c r="G305" t="s">
        <v>986</v>
      </c>
      <c r="H305" t="s">
        <v>25</v>
      </c>
      <c r="I305" t="s">
        <v>987</v>
      </c>
      <c r="J305" t="s">
        <v>65</v>
      </c>
      <c r="K305" t="str">
        <f t="shared" si="24"/>
        <v>Anthony Mitchell</v>
      </c>
      <c r="L305" t="str">
        <f t="shared" si="25"/>
        <v>Male</v>
      </c>
      <c r="M305" t="str">
        <f t="shared" si="26"/>
        <v>Theresa Osborne</v>
      </c>
      <c r="N305" s="4" t="str">
        <f t="shared" si="27"/>
        <v>Neurology</v>
      </c>
      <c r="O305" s="6">
        <f t="shared" si="28"/>
        <v>371.49</v>
      </c>
      <c r="P305" s="4" t="str">
        <f t="shared" si="29"/>
        <v>No</v>
      </c>
      <c r="Q305" s="4" t="str">
        <f>IF(OR(A305="",C305="",L305="Missing",M305="Missing",O305="0.00",K305="Missing"),"Review","OK")</f>
        <v>OK</v>
      </c>
    </row>
    <row r="306" spans="1:17" x14ac:dyDescent="0.3">
      <c r="A306">
        <v>1020</v>
      </c>
      <c r="B306" t="s">
        <v>988</v>
      </c>
      <c r="C306">
        <v>40</v>
      </c>
      <c r="D306" t="s">
        <v>11</v>
      </c>
      <c r="E306" s="3">
        <v>46036</v>
      </c>
      <c r="F306" s="3" t="s">
        <v>934</v>
      </c>
      <c r="G306" t="s">
        <v>989</v>
      </c>
      <c r="H306" t="s">
        <v>25</v>
      </c>
      <c r="I306" t="s">
        <v>990</v>
      </c>
      <c r="J306" t="s">
        <v>65</v>
      </c>
      <c r="K306" t="str">
        <f t="shared" si="24"/>
        <v>Jamie Peck</v>
      </c>
      <c r="L306" t="str">
        <f t="shared" si="25"/>
        <v>Female</v>
      </c>
      <c r="M306" t="str">
        <f t="shared" si="26"/>
        <v>Lisa Garcia</v>
      </c>
      <c r="N306" s="4" t="str">
        <f t="shared" si="27"/>
        <v>Neurology</v>
      </c>
      <c r="O306" s="6">
        <f t="shared" si="28"/>
        <v>406.43</v>
      </c>
      <c r="P306" s="4" t="str">
        <f t="shared" si="29"/>
        <v>No</v>
      </c>
      <c r="Q306" s="4" t="str">
        <f>IF(OR(A306="",C306="",L306="Missing",M306="Missing",O306="0.00",K306="Missing"),"Review","OK")</f>
        <v>OK</v>
      </c>
    </row>
    <row r="307" spans="1:17" x14ac:dyDescent="0.3">
      <c r="A307">
        <v>1053</v>
      </c>
      <c r="B307" t="s">
        <v>991</v>
      </c>
      <c r="C307">
        <v>76</v>
      </c>
      <c r="D307" t="s">
        <v>76</v>
      </c>
      <c r="E307" s="3" t="s">
        <v>992</v>
      </c>
      <c r="F307" s="3">
        <v>45777</v>
      </c>
      <c r="G307" t="s">
        <v>993</v>
      </c>
      <c r="H307" t="s">
        <v>13</v>
      </c>
      <c r="I307" t="s">
        <v>994</v>
      </c>
      <c r="J307">
        <v>0</v>
      </c>
      <c r="K307" t="str">
        <f t="shared" si="24"/>
        <v>Kelsey Kelly</v>
      </c>
      <c r="L307" t="str">
        <f t="shared" si="25"/>
        <v>Male</v>
      </c>
      <c r="M307" t="str">
        <f t="shared" si="26"/>
        <v>Denise Hall</v>
      </c>
      <c r="N307" s="4" t="str">
        <f t="shared" si="27"/>
        <v>Cardiology</v>
      </c>
      <c r="O307" s="6">
        <f t="shared" si="28"/>
        <v>334.38</v>
      </c>
      <c r="P307" s="4" t="str">
        <f t="shared" si="29"/>
        <v>No</v>
      </c>
      <c r="Q307" s="4" t="str">
        <f>IF(OR(A307="",C307="",L307="Missing",M307="Missing",O307="0.00",K307="Missing"),"Review","OK")</f>
        <v>OK</v>
      </c>
    </row>
    <row r="308" spans="1:17" x14ac:dyDescent="0.3">
      <c r="A308">
        <v>1011</v>
      </c>
      <c r="B308" t="s">
        <v>995</v>
      </c>
      <c r="C308">
        <v>60</v>
      </c>
      <c r="D308" t="s">
        <v>76</v>
      </c>
      <c r="E308" s="3" t="s">
        <v>853</v>
      </c>
      <c r="F308" s="3">
        <v>45408</v>
      </c>
      <c r="G308" t="s">
        <v>996</v>
      </c>
      <c r="H308" t="s">
        <v>13</v>
      </c>
      <c r="I308" t="s">
        <v>997</v>
      </c>
      <c r="J308">
        <v>0</v>
      </c>
      <c r="K308" t="str">
        <f t="shared" si="24"/>
        <v>Allison Mcgrath</v>
      </c>
      <c r="L308" t="str">
        <f t="shared" si="25"/>
        <v>Male</v>
      </c>
      <c r="M308" t="str">
        <f t="shared" si="26"/>
        <v>Morgan Mccoy</v>
      </c>
      <c r="N308" s="4" t="str">
        <f t="shared" si="27"/>
        <v>Cardiology</v>
      </c>
      <c r="O308" s="6">
        <f t="shared" si="28"/>
        <v>125.6</v>
      </c>
      <c r="P308" s="4" t="str">
        <f t="shared" si="29"/>
        <v>No</v>
      </c>
      <c r="Q308" s="4" t="str">
        <f>IF(OR(A308="",C308="",L308="Missing",M308="Missing",O308="0.00",K308="Missing"),"Review","OK")</f>
        <v>OK</v>
      </c>
    </row>
    <row r="309" spans="1:17" x14ac:dyDescent="0.3">
      <c r="A309">
        <v>1074</v>
      </c>
      <c r="B309" t="s">
        <v>998</v>
      </c>
      <c r="C309">
        <v>51</v>
      </c>
      <c r="D309" t="s">
        <v>23</v>
      </c>
      <c r="E309" s="3" t="s">
        <v>384</v>
      </c>
      <c r="F309" s="3">
        <v>45764</v>
      </c>
      <c r="G309" t="s">
        <v>999</v>
      </c>
      <c r="H309" t="s">
        <v>29</v>
      </c>
      <c r="I309" t="s">
        <v>1000</v>
      </c>
      <c r="J309" t="s">
        <v>65</v>
      </c>
      <c r="K309" t="str">
        <f t="shared" si="24"/>
        <v>Denise Anderson</v>
      </c>
      <c r="L309" t="str">
        <f t="shared" si="25"/>
        <v>Male</v>
      </c>
      <c r="M309" t="str">
        <f t="shared" si="26"/>
        <v>Timothy Beasley</v>
      </c>
      <c r="N309" s="4" t="str">
        <f t="shared" si="27"/>
        <v>General</v>
      </c>
      <c r="O309" s="6">
        <f t="shared" si="28"/>
        <v>377.85</v>
      </c>
      <c r="P309" s="4" t="str">
        <f t="shared" si="29"/>
        <v>No</v>
      </c>
      <c r="Q309" s="4" t="str">
        <f>IF(OR(A309="",C309="",L309="Missing",M309="Missing",O309="0.00",K309="Missing"),"Review","OK")</f>
        <v>OK</v>
      </c>
    </row>
    <row r="310" spans="1:17" x14ac:dyDescent="0.3">
      <c r="A310">
        <v>1051</v>
      </c>
      <c r="B310" t="s">
        <v>1001</v>
      </c>
      <c r="C310">
        <v>52</v>
      </c>
      <c r="D310">
        <v>0</v>
      </c>
      <c r="E310" s="3">
        <v>45907</v>
      </c>
      <c r="F310" s="3" t="s">
        <v>1002</v>
      </c>
      <c r="G310" t="s">
        <v>1003</v>
      </c>
      <c r="H310" t="s">
        <v>13</v>
      </c>
      <c r="I310" t="s">
        <v>1004</v>
      </c>
      <c r="J310">
        <v>1</v>
      </c>
      <c r="K310" t="str">
        <f t="shared" si="24"/>
        <v>Louis Thomas</v>
      </c>
      <c r="L310" t="str">
        <f t="shared" si="25"/>
        <v>Male</v>
      </c>
      <c r="M310" t="str">
        <f t="shared" si="26"/>
        <v>Michelle Carter</v>
      </c>
      <c r="N310" s="4" t="str">
        <f t="shared" si="27"/>
        <v>Cardiology</v>
      </c>
      <c r="O310" s="6">
        <f t="shared" si="28"/>
        <v>450.24</v>
      </c>
      <c r="P310" s="4" t="str">
        <f t="shared" si="29"/>
        <v>Yes</v>
      </c>
      <c r="Q310" s="4" t="str">
        <f>IF(OR(A310="",C310="",L310="Missing",M310="Missing",O310="0.00",K310="Missing"),"Review","OK")</f>
        <v>OK</v>
      </c>
    </row>
    <row r="311" spans="1:17" x14ac:dyDescent="0.3">
      <c r="A311">
        <v>1029</v>
      </c>
      <c r="B311" t="s">
        <v>1005</v>
      </c>
      <c r="C311">
        <v>43</v>
      </c>
      <c r="D311" t="s">
        <v>11</v>
      </c>
      <c r="E311" s="3">
        <v>45925</v>
      </c>
      <c r="F311" s="3" t="s">
        <v>1006</v>
      </c>
      <c r="G311" t="s">
        <v>1007</v>
      </c>
      <c r="H311" t="s">
        <v>13</v>
      </c>
      <c r="I311" t="s">
        <v>1008</v>
      </c>
      <c r="J311">
        <v>1</v>
      </c>
      <c r="K311" t="str">
        <f t="shared" si="24"/>
        <v>Sarah Taylor</v>
      </c>
      <c r="L311" t="str">
        <f t="shared" si="25"/>
        <v>Female</v>
      </c>
      <c r="M311" t="str">
        <f t="shared" si="26"/>
        <v>Christopher Sexton</v>
      </c>
      <c r="N311" s="4" t="str">
        <f t="shared" si="27"/>
        <v>Cardiology</v>
      </c>
      <c r="O311" s="6">
        <f t="shared" si="28"/>
        <v>382.81</v>
      </c>
      <c r="P311" s="4" t="str">
        <f t="shared" si="29"/>
        <v>Yes</v>
      </c>
      <c r="Q311" s="4" t="str">
        <f>IF(OR(A311="",C311="",L311="Missing",M311="Missing",O311="0.00",K311="Missing"),"Review","OK")</f>
        <v>OK</v>
      </c>
    </row>
    <row r="312" spans="1:17" x14ac:dyDescent="0.3">
      <c r="A312">
        <v>1043</v>
      </c>
      <c r="B312" t="s">
        <v>1009</v>
      </c>
      <c r="C312">
        <v>38</v>
      </c>
      <c r="D312" t="s">
        <v>76</v>
      </c>
      <c r="E312" s="3">
        <v>46047</v>
      </c>
      <c r="F312" s="3">
        <v>45391</v>
      </c>
      <c r="G312" t="s">
        <v>1010</v>
      </c>
      <c r="H312" t="s">
        <v>25</v>
      </c>
      <c r="I312" t="s">
        <v>1011</v>
      </c>
      <c r="J312" t="s">
        <v>65</v>
      </c>
      <c r="K312" t="str">
        <f t="shared" si="24"/>
        <v>Dustin Perry</v>
      </c>
      <c r="L312" t="str">
        <f t="shared" si="25"/>
        <v>Male</v>
      </c>
      <c r="M312" t="str">
        <f t="shared" si="26"/>
        <v>Adam Moore</v>
      </c>
      <c r="N312" s="4" t="str">
        <f t="shared" si="27"/>
        <v>Neurology</v>
      </c>
      <c r="O312" s="6">
        <f t="shared" si="28"/>
        <v>424.21</v>
      </c>
      <c r="P312" s="4" t="str">
        <f t="shared" si="29"/>
        <v>No</v>
      </c>
      <c r="Q312" s="4" t="str">
        <f>IF(OR(A312="",C312="",L312="Missing",M312="Missing",O312="0.00",K312="Missing"),"Review","OK")</f>
        <v>OK</v>
      </c>
    </row>
    <row r="313" spans="1:17" x14ac:dyDescent="0.3">
      <c r="A313">
        <v>1095</v>
      </c>
      <c r="B313" t="s">
        <v>1012</v>
      </c>
      <c r="C313">
        <v>84</v>
      </c>
      <c r="D313" t="s">
        <v>16</v>
      </c>
      <c r="E313" s="3">
        <v>46068</v>
      </c>
      <c r="F313" s="3">
        <v>45982</v>
      </c>
      <c r="G313" t="s">
        <v>1013</v>
      </c>
      <c r="H313" t="s">
        <v>19</v>
      </c>
      <c r="I313" t="s">
        <v>1014</v>
      </c>
      <c r="J313" t="s">
        <v>21</v>
      </c>
      <c r="K313" t="str">
        <f t="shared" si="24"/>
        <v>Shawn Tucker</v>
      </c>
      <c r="L313" t="str">
        <f t="shared" si="25"/>
        <v>Female</v>
      </c>
      <c r="M313" t="str">
        <f t="shared" si="26"/>
        <v>Melissa Schmidt</v>
      </c>
      <c r="N313" s="4" t="str">
        <f t="shared" si="27"/>
        <v>Orthopedics</v>
      </c>
      <c r="O313" s="6">
        <f t="shared" si="28"/>
        <v>258.38</v>
      </c>
      <c r="P313" s="4" t="str">
        <f t="shared" si="29"/>
        <v>Yes</v>
      </c>
      <c r="Q313" s="4" t="str">
        <f>IF(OR(A313="",C313="",L313="Missing",M313="Missing",O313="0.00",K313="Missing"),"Review","OK")</f>
        <v>OK</v>
      </c>
    </row>
    <row r="314" spans="1:17" x14ac:dyDescent="0.3">
      <c r="A314">
        <v>1080</v>
      </c>
      <c r="B314" t="s">
        <v>1015</v>
      </c>
      <c r="C314">
        <v>40</v>
      </c>
      <c r="D314">
        <v>1</v>
      </c>
      <c r="E314" s="3" t="s">
        <v>1016</v>
      </c>
      <c r="F314" s="3">
        <v>45851</v>
      </c>
      <c r="G314" t="s">
        <v>1017</v>
      </c>
      <c r="H314" t="s">
        <v>19</v>
      </c>
      <c r="I314" t="s">
        <v>1018</v>
      </c>
      <c r="J314" t="s">
        <v>39</v>
      </c>
      <c r="K314" t="str">
        <f t="shared" si="24"/>
        <v>Rachel Russo</v>
      </c>
      <c r="L314" t="str">
        <f t="shared" si="25"/>
        <v>Female</v>
      </c>
      <c r="M314" t="str">
        <f t="shared" si="26"/>
        <v>Christine Wilson</v>
      </c>
      <c r="N314" s="4" t="str">
        <f t="shared" si="27"/>
        <v>Orthopedics</v>
      </c>
      <c r="O314" s="6">
        <f t="shared" si="28"/>
        <v>366.15</v>
      </c>
      <c r="P314" s="4" t="str">
        <f t="shared" si="29"/>
        <v>Yes</v>
      </c>
      <c r="Q314" s="4" t="str">
        <f>IF(OR(A314="",C314="",L314="Missing",M314="Missing",O314="0.00",K314="Missing"),"Review","OK")</f>
        <v>OK</v>
      </c>
    </row>
    <row r="315" spans="1:17" x14ac:dyDescent="0.3">
      <c r="A315">
        <v>1082</v>
      </c>
      <c r="B315" t="s">
        <v>1019</v>
      </c>
      <c r="C315">
        <v>89</v>
      </c>
      <c r="D315">
        <v>1</v>
      </c>
      <c r="E315" s="3">
        <v>45743</v>
      </c>
      <c r="F315" s="3">
        <v>45642</v>
      </c>
      <c r="G315" t="s">
        <v>1020</v>
      </c>
      <c r="H315" t="s">
        <v>13</v>
      </c>
      <c r="I315" t="s">
        <v>1021</v>
      </c>
      <c r="J315" t="s">
        <v>65</v>
      </c>
      <c r="K315" t="str">
        <f t="shared" si="24"/>
        <v>Dana Martinez</v>
      </c>
      <c r="L315" t="str">
        <f t="shared" si="25"/>
        <v>Female</v>
      </c>
      <c r="M315" t="str">
        <f t="shared" si="26"/>
        <v>Barry Bennett</v>
      </c>
      <c r="N315" s="4" t="str">
        <f t="shared" si="27"/>
        <v>Cardiology</v>
      </c>
      <c r="O315" s="6">
        <f t="shared" si="28"/>
        <v>466.92</v>
      </c>
      <c r="P315" s="4" t="str">
        <f t="shared" si="29"/>
        <v>No</v>
      </c>
      <c r="Q315" s="4" t="str">
        <f>IF(OR(A315="",C315="",L315="Missing",M315="Missing",O315="0.00",K315="Missing"),"Review","OK")</f>
        <v>OK</v>
      </c>
    </row>
    <row r="316" spans="1:17" x14ac:dyDescent="0.3">
      <c r="A316">
        <v>1058</v>
      </c>
      <c r="B316" t="s">
        <v>1022</v>
      </c>
      <c r="C316">
        <v>57</v>
      </c>
      <c r="D316">
        <v>0</v>
      </c>
      <c r="E316" s="3">
        <v>45960</v>
      </c>
      <c r="F316" s="3">
        <v>45531</v>
      </c>
      <c r="G316" t="s">
        <v>1023</v>
      </c>
      <c r="H316" t="s">
        <v>25</v>
      </c>
      <c r="I316" t="s">
        <v>1024</v>
      </c>
      <c r="J316" t="s">
        <v>21</v>
      </c>
      <c r="K316" t="str">
        <f t="shared" si="24"/>
        <v>Shane Fowler</v>
      </c>
      <c r="L316" t="str">
        <f t="shared" si="25"/>
        <v>Male</v>
      </c>
      <c r="M316" t="str">
        <f t="shared" si="26"/>
        <v>Kimberly Douglas</v>
      </c>
      <c r="N316" s="4" t="str">
        <f t="shared" si="27"/>
        <v>Neurology</v>
      </c>
      <c r="O316" s="6">
        <f t="shared" si="28"/>
        <v>114.67</v>
      </c>
      <c r="P316" s="4" t="str">
        <f t="shared" si="29"/>
        <v>Yes</v>
      </c>
      <c r="Q316" s="4" t="str">
        <f>IF(OR(A316="",C316="",L316="Missing",M316="Missing",O316="0.00",K316="Missing"),"Review","OK")</f>
        <v>OK</v>
      </c>
    </row>
    <row r="317" spans="1:17" x14ac:dyDescent="0.3">
      <c r="A317">
        <v>1088</v>
      </c>
      <c r="B317" t="s">
        <v>1025</v>
      </c>
      <c r="C317">
        <v>26</v>
      </c>
      <c r="D317" t="s">
        <v>11</v>
      </c>
      <c r="E317" s="3">
        <v>46085</v>
      </c>
      <c r="F317" s="3" t="s">
        <v>384</v>
      </c>
      <c r="G317" t="s">
        <v>1026</v>
      </c>
      <c r="H317" t="s">
        <v>13</v>
      </c>
      <c r="I317" t="s">
        <v>1027</v>
      </c>
      <c r="J317">
        <v>0</v>
      </c>
      <c r="K317" t="str">
        <f t="shared" si="24"/>
        <v>Kimberly Robinson</v>
      </c>
      <c r="L317" t="str">
        <f t="shared" si="25"/>
        <v>Female</v>
      </c>
      <c r="M317" t="str">
        <f t="shared" si="26"/>
        <v>Michael Wright</v>
      </c>
      <c r="N317" s="4" t="str">
        <f t="shared" si="27"/>
        <v>Cardiology</v>
      </c>
      <c r="O317" s="6">
        <f t="shared" si="28"/>
        <v>71.67</v>
      </c>
      <c r="P317" s="4" t="str">
        <f t="shared" si="29"/>
        <v>No</v>
      </c>
      <c r="Q317" s="4" t="str">
        <f>IF(OR(A317="",C317="",L317="Missing",M317="Missing",O317="0.00",K317="Missing"),"Review","OK")</f>
        <v>OK</v>
      </c>
    </row>
    <row r="318" spans="1:17" x14ac:dyDescent="0.3">
      <c r="A318">
        <v>1039</v>
      </c>
      <c r="B318" t="s">
        <v>1028</v>
      </c>
      <c r="C318">
        <v>61</v>
      </c>
      <c r="D318">
        <v>0</v>
      </c>
      <c r="E318" s="3">
        <v>45968</v>
      </c>
      <c r="F318" s="3">
        <v>45921</v>
      </c>
      <c r="G318" t="s">
        <v>1029</v>
      </c>
      <c r="H318" t="s">
        <v>29</v>
      </c>
      <c r="I318" t="s">
        <v>1030</v>
      </c>
      <c r="J318">
        <v>0</v>
      </c>
      <c r="K318" t="str">
        <f t="shared" si="24"/>
        <v>Robert Rodriguez</v>
      </c>
      <c r="L318" t="str">
        <f t="shared" si="25"/>
        <v>Male</v>
      </c>
      <c r="M318" t="str">
        <f t="shared" si="26"/>
        <v>Stephanie Douglas</v>
      </c>
      <c r="N318" s="4" t="str">
        <f t="shared" si="27"/>
        <v>General</v>
      </c>
      <c r="O318" s="6">
        <f t="shared" si="28"/>
        <v>264.27</v>
      </c>
      <c r="P318" s="4" t="str">
        <f t="shared" si="29"/>
        <v>No</v>
      </c>
      <c r="Q318" s="4" t="str">
        <f>IF(OR(A318="",C318="",L318="Missing",M318="Missing",O318="0.00",K318="Missing"),"Review","OK")</f>
        <v>OK</v>
      </c>
    </row>
    <row r="319" spans="1:17" x14ac:dyDescent="0.3">
      <c r="A319">
        <v>1016</v>
      </c>
      <c r="B319" t="s">
        <v>1031</v>
      </c>
      <c r="C319">
        <v>78</v>
      </c>
      <c r="D319" t="s">
        <v>16</v>
      </c>
      <c r="E319" s="3">
        <v>45798</v>
      </c>
      <c r="F319" s="3">
        <v>45522</v>
      </c>
      <c r="G319" t="s">
        <v>1032</v>
      </c>
      <c r="H319" t="s">
        <v>25</v>
      </c>
      <c r="I319" t="s">
        <v>1033</v>
      </c>
      <c r="J319" t="s">
        <v>21</v>
      </c>
      <c r="K319" t="str">
        <f t="shared" si="24"/>
        <v>Rita Joyce</v>
      </c>
      <c r="L319" t="str">
        <f t="shared" si="25"/>
        <v>Female</v>
      </c>
      <c r="M319" t="str">
        <f t="shared" si="26"/>
        <v>Diana Neal</v>
      </c>
      <c r="N319" s="4" t="str">
        <f t="shared" si="27"/>
        <v>Neurology</v>
      </c>
      <c r="O319" s="6">
        <f t="shared" si="28"/>
        <v>92.45</v>
      </c>
      <c r="P319" s="4" t="str">
        <f t="shared" si="29"/>
        <v>Yes</v>
      </c>
      <c r="Q319" s="4" t="str">
        <f>IF(OR(A319="",C319="",L319="Missing",M319="Missing",O319="0.00",K319="Missing"),"Review","OK")</f>
        <v>OK</v>
      </c>
    </row>
    <row r="320" spans="1:17" x14ac:dyDescent="0.3">
      <c r="A320">
        <v>1098</v>
      </c>
      <c r="B320" t="s">
        <v>1034</v>
      </c>
      <c r="C320">
        <v>35</v>
      </c>
      <c r="D320">
        <v>1</v>
      </c>
      <c r="E320" s="3">
        <v>46008</v>
      </c>
      <c r="F320" s="3">
        <v>45409</v>
      </c>
      <c r="G320" t="s">
        <v>1035</v>
      </c>
      <c r="H320" t="s">
        <v>19</v>
      </c>
      <c r="I320" t="s">
        <v>1036</v>
      </c>
      <c r="J320" t="s">
        <v>65</v>
      </c>
      <c r="K320" t="str">
        <f t="shared" si="24"/>
        <v>Kimberly Meyer</v>
      </c>
      <c r="L320" t="str">
        <f t="shared" si="25"/>
        <v>Female</v>
      </c>
      <c r="M320" t="str">
        <f t="shared" si="26"/>
        <v>Christopher Perez</v>
      </c>
      <c r="N320" s="4" t="str">
        <f t="shared" si="27"/>
        <v>Orthopedics</v>
      </c>
      <c r="O320" s="6">
        <f t="shared" si="28"/>
        <v>441.33</v>
      </c>
      <c r="P320" s="4" t="str">
        <f t="shared" si="29"/>
        <v>No</v>
      </c>
      <c r="Q320" s="4" t="str">
        <f>IF(OR(A320="",C320="",L320="Missing",M320="Missing",O320="0.00",K320="Missing"),"Review","OK")</f>
        <v>OK</v>
      </c>
    </row>
    <row r="321" spans="1:17" x14ac:dyDescent="0.3">
      <c r="A321">
        <v>1025</v>
      </c>
      <c r="B321" t="s">
        <v>1037</v>
      </c>
      <c r="C321">
        <v>40</v>
      </c>
      <c r="D321" t="s">
        <v>56</v>
      </c>
      <c r="E321" s="3">
        <v>45969</v>
      </c>
      <c r="F321" s="3">
        <v>45506</v>
      </c>
      <c r="G321" t="s">
        <v>1038</v>
      </c>
      <c r="H321" t="s">
        <v>19</v>
      </c>
      <c r="I321" t="s">
        <v>1039</v>
      </c>
      <c r="J321">
        <v>0</v>
      </c>
      <c r="K321" t="str">
        <f t="shared" si="24"/>
        <v>Kelly Morris</v>
      </c>
      <c r="L321" t="str">
        <f t="shared" si="25"/>
        <v>Male</v>
      </c>
      <c r="M321" t="str">
        <f t="shared" si="26"/>
        <v>Matthew Mccann</v>
      </c>
      <c r="N321" s="4" t="str">
        <f t="shared" si="27"/>
        <v>Orthopedics</v>
      </c>
      <c r="O321" s="6">
        <f t="shared" si="28"/>
        <v>258.77999999999997</v>
      </c>
      <c r="P321" s="4" t="str">
        <f t="shared" si="29"/>
        <v>No</v>
      </c>
      <c r="Q321" s="4" t="str">
        <f>IF(OR(A321="",C321="",L321="Missing",M321="Missing",O321="0.00",K321="Missing"),"Review","OK")</f>
        <v>OK</v>
      </c>
    </row>
    <row r="322" spans="1:17" x14ac:dyDescent="0.3">
      <c r="A322">
        <v>1012</v>
      </c>
      <c r="B322" t="s">
        <v>1040</v>
      </c>
      <c r="C322">
        <v>59</v>
      </c>
      <c r="D322" t="s">
        <v>11</v>
      </c>
      <c r="E322" s="3">
        <v>45778</v>
      </c>
      <c r="F322" s="3">
        <v>45567</v>
      </c>
      <c r="G322" t="s">
        <v>1041</v>
      </c>
      <c r="H322" t="s">
        <v>29</v>
      </c>
      <c r="I322" t="s">
        <v>1042</v>
      </c>
      <c r="J322">
        <v>1</v>
      </c>
      <c r="K322" t="str">
        <f t="shared" ref="K322:K385" si="30">PROPER(TRIM(CLEAN(B322)))</f>
        <v>Kevin Thompson</v>
      </c>
      <c r="L322" t="str">
        <f t="shared" ref="L322:L385" si="31">_xlfn.LET(_xlpm.x,LOWER(TRIM(D322)),
IF(OR(_xlpm.x="f",_xlpm.x="female",_xlpm.x="1"),"Female",
IF(OR(_xlpm.x="m",_xlpm.x="male",_xlpm.x="0"),"Male",
IF(_xlpm.x="","Missing","Review"))))</f>
        <v>Female</v>
      </c>
      <c r="M322" t="str">
        <f t="shared" ref="M322:M385" si="32">PROPER(TRIM(CLEAN(G322)))</f>
        <v>Lynn Cruz</v>
      </c>
      <c r="N322" s="4" t="str">
        <f t="shared" ref="N322:N385" si="33">PROPER(TRIM(CLEAN(H322)))</f>
        <v>General</v>
      </c>
      <c r="O322" s="6">
        <f t="shared" ref="O322:O385" si="34">_xlfn.LET(_xlpm.x,TRIM(I322),IF(_xlpm.x="","0.00",IFERROR(VALUE(SUBSTITUTE(SUBSTITUTE(SUBSTITUTE(SUBSTITUTE(SUBSTITUTE(SUBSTITUTE(_xlpm.x,"Â£",""),"â‚¬",""),"$",""),"Rs",""),"£",""),"€","")),"0.00")))</f>
        <v>156.71</v>
      </c>
      <c r="P322" s="4" t="str">
        <f t="shared" ref="P322:P385" si="35">_xlfn.LET(_xlpm.x,LOWER(TRIM(J322)),
IF(OR(_xlpm.x="y",_xlpm.x="yes",_xlpm.x="1"),"Yes",
IF(OR(_xlpm.x="n",_xlpm.x="no",_xlpm.x="0"),"No",
IF(_xlpm.x="","Missing","Review"))))</f>
        <v>Yes</v>
      </c>
      <c r="Q322" s="4" t="str">
        <f>IF(OR(A322="",C322="",L322="Missing",M322="Missing",O322="0.00",K322="Missing"),"Review","OK")</f>
        <v>OK</v>
      </c>
    </row>
    <row r="323" spans="1:17" x14ac:dyDescent="0.3">
      <c r="A323">
        <v>1038</v>
      </c>
      <c r="B323" t="s">
        <v>1043</v>
      </c>
      <c r="C323">
        <v>57</v>
      </c>
      <c r="D323" t="s">
        <v>41</v>
      </c>
      <c r="E323" s="3">
        <v>45776</v>
      </c>
      <c r="F323" s="3" t="s">
        <v>1044</v>
      </c>
      <c r="G323" t="s">
        <v>1045</v>
      </c>
      <c r="H323" t="s">
        <v>25</v>
      </c>
      <c r="I323" t="s">
        <v>1046</v>
      </c>
      <c r="J323" t="s">
        <v>21</v>
      </c>
      <c r="K323" t="str">
        <f t="shared" si="30"/>
        <v>April Braun</v>
      </c>
      <c r="L323" t="str">
        <f t="shared" si="31"/>
        <v>Female</v>
      </c>
      <c r="M323" t="str">
        <f t="shared" si="32"/>
        <v>Jacob Mendoza</v>
      </c>
      <c r="N323" s="4" t="str">
        <f t="shared" si="33"/>
        <v>Neurology</v>
      </c>
      <c r="O323" s="6">
        <f t="shared" si="34"/>
        <v>110.47</v>
      </c>
      <c r="P323" s="4" t="str">
        <f t="shared" si="35"/>
        <v>Yes</v>
      </c>
      <c r="Q323" s="4" t="str">
        <f>IF(OR(A323="",C323="",L323="Missing",M323="Missing",O323="0.00",K323="Missing"),"Review","OK")</f>
        <v>OK</v>
      </c>
    </row>
    <row r="324" spans="1:17" x14ac:dyDescent="0.3">
      <c r="A324">
        <v>1000</v>
      </c>
      <c r="B324" t="s">
        <v>1047</v>
      </c>
      <c r="C324">
        <v>85</v>
      </c>
      <c r="D324" t="s">
        <v>23</v>
      </c>
      <c r="E324" s="3">
        <v>45823</v>
      </c>
      <c r="F324" s="3">
        <v>45476</v>
      </c>
      <c r="G324" t="s">
        <v>1048</v>
      </c>
      <c r="H324" t="s">
        <v>25</v>
      </c>
      <c r="I324" t="s">
        <v>1049</v>
      </c>
      <c r="J324">
        <v>0</v>
      </c>
      <c r="K324" t="str">
        <f t="shared" si="30"/>
        <v>Alejandro Lopez</v>
      </c>
      <c r="L324" t="str">
        <f t="shared" si="31"/>
        <v>Male</v>
      </c>
      <c r="M324" t="str">
        <f t="shared" si="32"/>
        <v>Brian Bowman</v>
      </c>
      <c r="N324" s="4" t="str">
        <f t="shared" si="33"/>
        <v>Neurology</v>
      </c>
      <c r="O324" s="6">
        <f t="shared" si="34"/>
        <v>361.32</v>
      </c>
      <c r="P324" s="4" t="str">
        <f t="shared" si="35"/>
        <v>No</v>
      </c>
      <c r="Q324" s="4" t="str">
        <f>IF(OR(A324="",C324="",L324="Missing",M324="Missing",O324="0.00",K324="Missing"),"Review","OK")</f>
        <v>OK</v>
      </c>
    </row>
    <row r="325" spans="1:17" x14ac:dyDescent="0.3">
      <c r="A325">
        <v>1020</v>
      </c>
      <c r="B325" t="s">
        <v>1050</v>
      </c>
      <c r="C325">
        <v>76</v>
      </c>
      <c r="D325" t="s">
        <v>41</v>
      </c>
      <c r="E325" s="3">
        <v>45807</v>
      </c>
      <c r="F325" s="3" t="s">
        <v>1051</v>
      </c>
      <c r="G325" t="s">
        <v>1052</v>
      </c>
      <c r="H325" t="s">
        <v>29</v>
      </c>
      <c r="I325" t="s">
        <v>1053</v>
      </c>
      <c r="J325" t="s">
        <v>31</v>
      </c>
      <c r="K325" t="str">
        <f t="shared" si="30"/>
        <v>Scott Bishop</v>
      </c>
      <c r="L325" t="str">
        <f t="shared" si="31"/>
        <v>Female</v>
      </c>
      <c r="M325" t="str">
        <f t="shared" si="32"/>
        <v>Dylan Gibson</v>
      </c>
      <c r="N325" s="4" t="str">
        <f t="shared" si="33"/>
        <v>General</v>
      </c>
      <c r="O325" s="6">
        <f t="shared" si="34"/>
        <v>405.85</v>
      </c>
      <c r="P325" s="4" t="str">
        <f t="shared" si="35"/>
        <v>No</v>
      </c>
      <c r="Q325" s="4" t="str">
        <f>IF(OR(A325="",C325="",L325="Missing",M325="Missing",O325="0.00",K325="Missing"),"Review","OK")</f>
        <v>OK</v>
      </c>
    </row>
    <row r="326" spans="1:17" x14ac:dyDescent="0.3">
      <c r="A326">
        <v>1010</v>
      </c>
      <c r="B326" t="s">
        <v>1054</v>
      </c>
      <c r="C326">
        <v>87</v>
      </c>
      <c r="E326" s="3">
        <v>45813</v>
      </c>
      <c r="F326" s="3" t="s">
        <v>1055</v>
      </c>
      <c r="G326" t="s">
        <v>1056</v>
      </c>
      <c r="H326" t="s">
        <v>25</v>
      </c>
      <c r="I326" t="s">
        <v>1057</v>
      </c>
      <c r="J326">
        <v>1</v>
      </c>
      <c r="K326" t="str">
        <f t="shared" si="30"/>
        <v>Steven Baldwin</v>
      </c>
      <c r="L326" t="str">
        <f t="shared" si="31"/>
        <v>Missing</v>
      </c>
      <c r="M326" t="str">
        <f t="shared" si="32"/>
        <v>Lori Reid</v>
      </c>
      <c r="N326" s="4" t="str">
        <f t="shared" si="33"/>
        <v>Neurology</v>
      </c>
      <c r="O326" s="6">
        <f t="shared" si="34"/>
        <v>496.78</v>
      </c>
      <c r="P326" s="4" t="str">
        <f t="shared" si="35"/>
        <v>Yes</v>
      </c>
      <c r="Q326" s="4" t="str">
        <f>IF(OR(A326="",C326="",L326="Missing",M326="Missing",O326="0.00",K326="Missing"),"Review","OK")</f>
        <v>Review</v>
      </c>
    </row>
    <row r="327" spans="1:17" x14ac:dyDescent="0.3">
      <c r="A327">
        <v>1031</v>
      </c>
      <c r="B327" t="s">
        <v>1058</v>
      </c>
      <c r="C327">
        <v>40</v>
      </c>
      <c r="D327">
        <v>1</v>
      </c>
      <c r="E327" s="3">
        <v>46065</v>
      </c>
      <c r="F327" s="3">
        <v>45394</v>
      </c>
      <c r="G327" t="s">
        <v>1059</v>
      </c>
      <c r="H327" t="s">
        <v>25</v>
      </c>
      <c r="I327" t="s">
        <v>1060</v>
      </c>
      <c r="J327" t="s">
        <v>65</v>
      </c>
      <c r="K327" t="str">
        <f t="shared" si="30"/>
        <v>Randy Austin</v>
      </c>
      <c r="L327" t="str">
        <f t="shared" si="31"/>
        <v>Female</v>
      </c>
      <c r="M327" t="str">
        <f t="shared" si="32"/>
        <v>Dr. Deborah Fitzgerald</v>
      </c>
      <c r="N327" s="4" t="str">
        <f t="shared" si="33"/>
        <v>Neurology</v>
      </c>
      <c r="O327" s="6">
        <f t="shared" si="34"/>
        <v>364.33</v>
      </c>
      <c r="P327" s="4" t="str">
        <f t="shared" si="35"/>
        <v>No</v>
      </c>
      <c r="Q327" s="4" t="str">
        <f>IF(OR(A327="",C327="",L327="Missing",M327="Missing",O327="0.00",K327="Missing"),"Review","OK")</f>
        <v>OK</v>
      </c>
    </row>
    <row r="328" spans="1:17" x14ac:dyDescent="0.3">
      <c r="A328">
        <v>1006</v>
      </c>
      <c r="B328" t="s">
        <v>1061</v>
      </c>
      <c r="C328">
        <v>54</v>
      </c>
      <c r="D328" t="s">
        <v>41</v>
      </c>
      <c r="E328" s="3">
        <v>45826</v>
      </c>
      <c r="F328" s="3">
        <v>45454</v>
      </c>
      <c r="G328" t="s">
        <v>1062</v>
      </c>
      <c r="H328" t="s">
        <v>25</v>
      </c>
      <c r="I328" t="s">
        <v>1063</v>
      </c>
      <c r="J328" t="s">
        <v>31</v>
      </c>
      <c r="K328" t="str">
        <f t="shared" si="30"/>
        <v>Anthony Martin</v>
      </c>
      <c r="L328" t="str">
        <f t="shared" si="31"/>
        <v>Female</v>
      </c>
      <c r="M328" t="str">
        <f t="shared" si="32"/>
        <v>Alex Richards</v>
      </c>
      <c r="N328" s="4" t="str">
        <f t="shared" si="33"/>
        <v>Neurology</v>
      </c>
      <c r="O328" s="6">
        <f t="shared" si="34"/>
        <v>119.63</v>
      </c>
      <c r="P328" s="4" t="str">
        <f t="shared" si="35"/>
        <v>No</v>
      </c>
      <c r="Q328" s="4" t="str">
        <f>IF(OR(A328="",C328="",L328="Missing",M328="Missing",O328="0.00",K328="Missing"),"Review","OK")</f>
        <v>OK</v>
      </c>
    </row>
    <row r="329" spans="1:17" x14ac:dyDescent="0.3">
      <c r="A329">
        <v>1078</v>
      </c>
      <c r="B329" t="s">
        <v>1064</v>
      </c>
      <c r="C329">
        <v>85</v>
      </c>
      <c r="D329" t="s">
        <v>16</v>
      </c>
      <c r="E329" s="3">
        <v>45858</v>
      </c>
      <c r="F329" s="3" t="s">
        <v>1065</v>
      </c>
      <c r="G329" t="s">
        <v>1066</v>
      </c>
      <c r="H329" t="s">
        <v>29</v>
      </c>
      <c r="I329" t="s">
        <v>1067</v>
      </c>
      <c r="J329">
        <v>0</v>
      </c>
      <c r="K329" t="str">
        <f t="shared" si="30"/>
        <v>Patricia Ramsey</v>
      </c>
      <c r="L329" t="str">
        <f t="shared" si="31"/>
        <v>Female</v>
      </c>
      <c r="M329" t="str">
        <f t="shared" si="32"/>
        <v>Jennifer Tanner</v>
      </c>
      <c r="N329" s="4" t="str">
        <f t="shared" si="33"/>
        <v>General</v>
      </c>
      <c r="O329" s="6">
        <f t="shared" si="34"/>
        <v>399.55</v>
      </c>
      <c r="P329" s="4" t="str">
        <f t="shared" si="35"/>
        <v>No</v>
      </c>
      <c r="Q329" s="4" t="str">
        <f>IF(OR(A329="",C329="",L329="Missing",M329="Missing",O329="0.00",K329="Missing"),"Review","OK")</f>
        <v>OK</v>
      </c>
    </row>
    <row r="330" spans="1:17" x14ac:dyDescent="0.3">
      <c r="A330">
        <v>1021</v>
      </c>
      <c r="B330" t="s">
        <v>1068</v>
      </c>
      <c r="C330">
        <v>43</v>
      </c>
      <c r="D330" t="s">
        <v>16</v>
      </c>
      <c r="E330" s="3">
        <v>45772</v>
      </c>
      <c r="F330" s="3">
        <v>45748</v>
      </c>
      <c r="G330" t="s">
        <v>1069</v>
      </c>
      <c r="H330" t="s">
        <v>25</v>
      </c>
      <c r="I330" t="s">
        <v>1070</v>
      </c>
      <c r="J330">
        <v>0</v>
      </c>
      <c r="K330" t="str">
        <f t="shared" si="30"/>
        <v>Lauren Gardner</v>
      </c>
      <c r="L330" t="str">
        <f t="shared" si="31"/>
        <v>Female</v>
      </c>
      <c r="M330" t="str">
        <f t="shared" si="32"/>
        <v>Alison Castro</v>
      </c>
      <c r="N330" s="4" t="str">
        <f t="shared" si="33"/>
        <v>Neurology</v>
      </c>
      <c r="O330" s="6">
        <f t="shared" si="34"/>
        <v>186.4</v>
      </c>
      <c r="P330" s="4" t="str">
        <f t="shared" si="35"/>
        <v>No</v>
      </c>
      <c r="Q330" s="4" t="str">
        <f>IF(OR(A330="",C330="",L330="Missing",M330="Missing",O330="0.00",K330="Missing"),"Review","OK")</f>
        <v>OK</v>
      </c>
    </row>
    <row r="331" spans="1:17" x14ac:dyDescent="0.3">
      <c r="A331">
        <v>1084</v>
      </c>
      <c r="B331" t="s">
        <v>1071</v>
      </c>
      <c r="C331">
        <v>53</v>
      </c>
      <c r="D331" t="s">
        <v>11</v>
      </c>
      <c r="E331" s="3">
        <v>45788</v>
      </c>
      <c r="F331" s="3">
        <v>45665</v>
      </c>
      <c r="G331" t="s">
        <v>1072</v>
      </c>
      <c r="H331" t="s">
        <v>25</v>
      </c>
      <c r="I331" t="s">
        <v>1073</v>
      </c>
      <c r="J331" t="s">
        <v>39</v>
      </c>
      <c r="K331" t="str">
        <f t="shared" si="30"/>
        <v>Daniel Willis</v>
      </c>
      <c r="L331" t="str">
        <f t="shared" si="31"/>
        <v>Female</v>
      </c>
      <c r="M331" t="str">
        <f t="shared" si="32"/>
        <v>Megan Austin</v>
      </c>
      <c r="N331" s="4" t="str">
        <f t="shared" si="33"/>
        <v>Neurology</v>
      </c>
      <c r="O331" s="6">
        <f t="shared" si="34"/>
        <v>234.99</v>
      </c>
      <c r="P331" s="4" t="str">
        <f t="shared" si="35"/>
        <v>Yes</v>
      </c>
      <c r="Q331" s="4" t="str">
        <f>IF(OR(A331="",C331="",L331="Missing",M331="Missing",O331="0.00",K331="Missing"),"Review","OK")</f>
        <v>OK</v>
      </c>
    </row>
    <row r="332" spans="1:17" x14ac:dyDescent="0.3">
      <c r="A332">
        <v>1025</v>
      </c>
      <c r="B332" t="s">
        <v>1074</v>
      </c>
      <c r="C332">
        <v>55</v>
      </c>
      <c r="D332" t="s">
        <v>41</v>
      </c>
      <c r="E332" s="3">
        <v>45976</v>
      </c>
      <c r="F332" s="3">
        <v>45479</v>
      </c>
      <c r="G332" t="s">
        <v>1075</v>
      </c>
      <c r="H332" t="s">
        <v>29</v>
      </c>
      <c r="I332" t="s">
        <v>1076</v>
      </c>
      <c r="J332" t="s">
        <v>31</v>
      </c>
      <c r="K332" t="str">
        <f t="shared" si="30"/>
        <v>Shawn Moore</v>
      </c>
      <c r="L332" t="str">
        <f t="shared" si="31"/>
        <v>Female</v>
      </c>
      <c r="M332" t="str">
        <f t="shared" si="32"/>
        <v>Rebecca Ward</v>
      </c>
      <c r="N332" s="4" t="str">
        <f t="shared" si="33"/>
        <v>General</v>
      </c>
      <c r="O332" s="6">
        <f t="shared" si="34"/>
        <v>316.26</v>
      </c>
      <c r="P332" s="4" t="str">
        <f t="shared" si="35"/>
        <v>No</v>
      </c>
      <c r="Q332" s="4" t="str">
        <f>IF(OR(A332="",C332="",L332="Missing",M332="Missing",O332="0.00",K332="Missing"),"Review","OK")</f>
        <v>OK</v>
      </c>
    </row>
    <row r="333" spans="1:17" x14ac:dyDescent="0.3">
      <c r="A333">
        <v>1015</v>
      </c>
      <c r="B333" t="s">
        <v>1077</v>
      </c>
      <c r="C333">
        <v>21</v>
      </c>
      <c r="D333" t="s">
        <v>16</v>
      </c>
      <c r="E333" s="3">
        <v>45998</v>
      </c>
      <c r="F333" s="3">
        <v>45716</v>
      </c>
      <c r="G333" t="s">
        <v>1078</v>
      </c>
      <c r="H333" t="s">
        <v>19</v>
      </c>
      <c r="I333" t="s">
        <v>1079</v>
      </c>
      <c r="J333">
        <v>1</v>
      </c>
      <c r="K333" t="str">
        <f t="shared" si="30"/>
        <v>Sherry Wilson</v>
      </c>
      <c r="L333" t="str">
        <f t="shared" si="31"/>
        <v>Female</v>
      </c>
      <c r="M333" t="str">
        <f t="shared" si="32"/>
        <v>Pamela Wiley</v>
      </c>
      <c r="N333" s="4" t="str">
        <f t="shared" si="33"/>
        <v>Orthopedics</v>
      </c>
      <c r="O333" s="6">
        <f t="shared" si="34"/>
        <v>129.91</v>
      </c>
      <c r="P333" s="4" t="str">
        <f t="shared" si="35"/>
        <v>Yes</v>
      </c>
      <c r="Q333" s="4" t="str">
        <f>IF(OR(A333="",C333="",L333="Missing",M333="Missing",O333="0.00",K333="Missing"),"Review","OK")</f>
        <v>OK</v>
      </c>
    </row>
    <row r="334" spans="1:17" x14ac:dyDescent="0.3">
      <c r="A334">
        <v>1084</v>
      </c>
      <c r="B334" t="s">
        <v>1080</v>
      </c>
      <c r="C334">
        <v>78</v>
      </c>
      <c r="D334" t="s">
        <v>56</v>
      </c>
      <c r="E334" s="3">
        <v>46064</v>
      </c>
      <c r="F334" s="3">
        <v>45610</v>
      </c>
      <c r="G334" t="s">
        <v>1081</v>
      </c>
      <c r="H334" t="s">
        <v>25</v>
      </c>
      <c r="I334" t="s">
        <v>1082</v>
      </c>
      <c r="J334">
        <v>0</v>
      </c>
      <c r="K334" t="str">
        <f t="shared" si="30"/>
        <v>Teresa Peters</v>
      </c>
      <c r="L334" t="str">
        <f t="shared" si="31"/>
        <v>Male</v>
      </c>
      <c r="M334" t="str">
        <f t="shared" si="32"/>
        <v>Tracey Johnson</v>
      </c>
      <c r="N334" s="4" t="str">
        <f t="shared" si="33"/>
        <v>Neurology</v>
      </c>
      <c r="O334" s="6">
        <f t="shared" si="34"/>
        <v>468.01</v>
      </c>
      <c r="P334" s="4" t="str">
        <f t="shared" si="35"/>
        <v>No</v>
      </c>
      <c r="Q334" s="4" t="str">
        <f>IF(OR(A334="",C334="",L334="Missing",M334="Missing",O334="0.00",K334="Missing"),"Review","OK")</f>
        <v>OK</v>
      </c>
    </row>
    <row r="335" spans="1:17" x14ac:dyDescent="0.3">
      <c r="A335">
        <v>1015</v>
      </c>
      <c r="B335" t="s">
        <v>1083</v>
      </c>
      <c r="C335">
        <v>86</v>
      </c>
      <c r="D335" t="s">
        <v>16</v>
      </c>
      <c r="E335" s="3">
        <v>45882</v>
      </c>
      <c r="F335" s="3">
        <v>45556</v>
      </c>
      <c r="G335" t="s">
        <v>1084</v>
      </c>
      <c r="H335" t="s">
        <v>13</v>
      </c>
      <c r="I335" t="s">
        <v>1085</v>
      </c>
      <c r="J335" t="s">
        <v>21</v>
      </c>
      <c r="K335" t="str">
        <f t="shared" si="30"/>
        <v>Nicole Evans</v>
      </c>
      <c r="L335" t="str">
        <f t="shared" si="31"/>
        <v>Female</v>
      </c>
      <c r="M335" t="str">
        <f t="shared" si="32"/>
        <v>Ashley Cuevas</v>
      </c>
      <c r="N335" s="4" t="str">
        <f t="shared" si="33"/>
        <v>Cardiology</v>
      </c>
      <c r="O335" s="6">
        <f t="shared" si="34"/>
        <v>459.41</v>
      </c>
      <c r="P335" s="4" t="str">
        <f t="shared" si="35"/>
        <v>Yes</v>
      </c>
      <c r="Q335" s="4" t="str">
        <f>IF(OR(A335="",C335="",L335="Missing",M335="Missing",O335="0.00",K335="Missing"),"Review","OK")</f>
        <v>OK</v>
      </c>
    </row>
    <row r="336" spans="1:17" x14ac:dyDescent="0.3">
      <c r="A336">
        <v>1091</v>
      </c>
      <c r="B336" t="s">
        <v>1086</v>
      </c>
      <c r="C336">
        <v>27</v>
      </c>
      <c r="D336" t="s">
        <v>76</v>
      </c>
      <c r="E336" s="3">
        <v>46031</v>
      </c>
      <c r="F336" s="3">
        <v>45732</v>
      </c>
      <c r="G336" t="s">
        <v>1087</v>
      </c>
      <c r="H336" t="s">
        <v>19</v>
      </c>
      <c r="I336" t="s">
        <v>1088</v>
      </c>
      <c r="J336">
        <v>0</v>
      </c>
      <c r="K336" t="str">
        <f t="shared" si="30"/>
        <v>Brandon Sanders</v>
      </c>
      <c r="L336" t="str">
        <f t="shared" si="31"/>
        <v>Male</v>
      </c>
      <c r="M336" t="str">
        <f t="shared" si="32"/>
        <v>Amy Dunlap</v>
      </c>
      <c r="N336" s="4" t="str">
        <f t="shared" si="33"/>
        <v>Orthopedics</v>
      </c>
      <c r="O336" s="6">
        <f t="shared" si="34"/>
        <v>370.25</v>
      </c>
      <c r="P336" s="4" t="str">
        <f t="shared" si="35"/>
        <v>No</v>
      </c>
      <c r="Q336" s="4" t="str">
        <f>IF(OR(A336="",C336="",L336="Missing",M336="Missing",O336="0.00",K336="Missing"),"Review","OK")</f>
        <v>OK</v>
      </c>
    </row>
    <row r="337" spans="1:17" x14ac:dyDescent="0.3">
      <c r="A337">
        <v>1065</v>
      </c>
      <c r="B337" t="s">
        <v>1089</v>
      </c>
      <c r="C337">
        <v>76</v>
      </c>
      <c r="D337" t="s">
        <v>56</v>
      </c>
      <c r="E337" s="3" t="s">
        <v>1090</v>
      </c>
      <c r="F337" s="3">
        <v>45648</v>
      </c>
      <c r="G337" t="s">
        <v>1091</v>
      </c>
      <c r="H337" t="s">
        <v>19</v>
      </c>
      <c r="I337" t="s">
        <v>1092</v>
      </c>
      <c r="J337" t="s">
        <v>21</v>
      </c>
      <c r="K337" t="str">
        <f t="shared" si="30"/>
        <v>Samantha Wallace</v>
      </c>
      <c r="L337" t="str">
        <f t="shared" si="31"/>
        <v>Male</v>
      </c>
      <c r="M337" t="str">
        <f t="shared" si="32"/>
        <v>Charles Jackson</v>
      </c>
      <c r="N337" s="4" t="str">
        <f t="shared" si="33"/>
        <v>Orthopedics</v>
      </c>
      <c r="O337" s="6">
        <f t="shared" si="34"/>
        <v>145.83000000000001</v>
      </c>
      <c r="P337" s="4" t="str">
        <f t="shared" si="35"/>
        <v>Yes</v>
      </c>
      <c r="Q337" s="4" t="str">
        <f>IF(OR(A337="",C337="",L337="Missing",M337="Missing",O337="0.00",K337="Missing"),"Review","OK")</f>
        <v>OK</v>
      </c>
    </row>
    <row r="338" spans="1:17" x14ac:dyDescent="0.3">
      <c r="A338">
        <v>1045</v>
      </c>
      <c r="B338" t="s">
        <v>1093</v>
      </c>
      <c r="C338">
        <v>38</v>
      </c>
      <c r="D338" t="s">
        <v>56</v>
      </c>
      <c r="E338" s="3" t="s">
        <v>809</v>
      </c>
      <c r="F338" s="3">
        <v>45906</v>
      </c>
      <c r="G338" t="s">
        <v>1094</v>
      </c>
      <c r="H338" t="s">
        <v>29</v>
      </c>
      <c r="I338" t="s">
        <v>300</v>
      </c>
      <c r="J338" t="s">
        <v>39</v>
      </c>
      <c r="K338" t="str">
        <f t="shared" si="30"/>
        <v>Jared Butler</v>
      </c>
      <c r="L338" t="str">
        <f t="shared" si="31"/>
        <v>Male</v>
      </c>
      <c r="M338" t="str">
        <f t="shared" si="32"/>
        <v>Jason Morales</v>
      </c>
      <c r="N338" s="4" t="str">
        <f t="shared" si="33"/>
        <v>General</v>
      </c>
      <c r="O338" s="6">
        <f t="shared" si="34"/>
        <v>243.78</v>
      </c>
      <c r="P338" s="4" t="str">
        <f t="shared" si="35"/>
        <v>Yes</v>
      </c>
      <c r="Q338" s="4" t="str">
        <f>IF(OR(A338="",C338="",L338="Missing",M338="Missing",O338="0.00",K338="Missing"),"Review","OK")</f>
        <v>OK</v>
      </c>
    </row>
    <row r="339" spans="1:17" x14ac:dyDescent="0.3">
      <c r="A339">
        <v>1050</v>
      </c>
      <c r="B339" t="s">
        <v>1095</v>
      </c>
      <c r="C339">
        <v>81</v>
      </c>
      <c r="D339" t="s">
        <v>56</v>
      </c>
      <c r="E339" s="3">
        <v>45804</v>
      </c>
      <c r="F339" s="3" t="s">
        <v>1096</v>
      </c>
      <c r="G339" t="s">
        <v>1097</v>
      </c>
      <c r="H339" t="s">
        <v>13</v>
      </c>
      <c r="I339" t="s">
        <v>1098</v>
      </c>
      <c r="J339" t="s">
        <v>21</v>
      </c>
      <c r="K339" t="str">
        <f t="shared" si="30"/>
        <v>Tracey Beck</v>
      </c>
      <c r="L339" t="str">
        <f t="shared" si="31"/>
        <v>Male</v>
      </c>
      <c r="M339" t="str">
        <f t="shared" si="32"/>
        <v>Logan Cooper</v>
      </c>
      <c r="N339" s="4" t="str">
        <f t="shared" si="33"/>
        <v>Cardiology</v>
      </c>
      <c r="O339" s="6">
        <f t="shared" si="34"/>
        <v>184.28</v>
      </c>
      <c r="P339" s="4" t="str">
        <f t="shared" si="35"/>
        <v>Yes</v>
      </c>
      <c r="Q339" s="4" t="str">
        <f>IF(OR(A339="",C339="",L339="Missing",M339="Missing",O339="0.00",K339="Missing"),"Review","OK")</f>
        <v>OK</v>
      </c>
    </row>
    <row r="340" spans="1:17" x14ac:dyDescent="0.3">
      <c r="A340">
        <v>1058</v>
      </c>
      <c r="B340" t="s">
        <v>1099</v>
      </c>
      <c r="C340">
        <v>90</v>
      </c>
      <c r="D340" t="s">
        <v>76</v>
      </c>
      <c r="E340" s="3" t="s">
        <v>1100</v>
      </c>
      <c r="F340" s="3">
        <v>45460</v>
      </c>
      <c r="G340" t="s">
        <v>1101</v>
      </c>
      <c r="H340" t="s">
        <v>29</v>
      </c>
      <c r="I340" t="s">
        <v>1102</v>
      </c>
      <c r="J340" t="s">
        <v>39</v>
      </c>
      <c r="K340" t="str">
        <f t="shared" si="30"/>
        <v>Brianna Mcpherson</v>
      </c>
      <c r="L340" t="str">
        <f t="shared" si="31"/>
        <v>Male</v>
      </c>
      <c r="M340" t="str">
        <f t="shared" si="32"/>
        <v>Nathaniel Thompson</v>
      </c>
      <c r="N340" s="4" t="str">
        <f t="shared" si="33"/>
        <v>General</v>
      </c>
      <c r="O340" s="6">
        <f t="shared" si="34"/>
        <v>109.61</v>
      </c>
      <c r="P340" s="4" t="str">
        <f t="shared" si="35"/>
        <v>Yes</v>
      </c>
      <c r="Q340" s="4" t="str">
        <f>IF(OR(A340="",C340="",L340="Missing",M340="Missing",O340="0.00",K340="Missing"),"Review","OK")</f>
        <v>OK</v>
      </c>
    </row>
    <row r="341" spans="1:17" x14ac:dyDescent="0.3">
      <c r="A341">
        <v>1047</v>
      </c>
      <c r="B341" t="s">
        <v>1103</v>
      </c>
      <c r="C341">
        <v>87</v>
      </c>
      <c r="D341" t="s">
        <v>11</v>
      </c>
      <c r="E341" s="3">
        <v>45818</v>
      </c>
      <c r="F341" s="3">
        <v>45628</v>
      </c>
      <c r="G341" t="s">
        <v>1104</v>
      </c>
      <c r="H341" t="s">
        <v>29</v>
      </c>
      <c r="I341" t="s">
        <v>1105</v>
      </c>
      <c r="J341" t="s">
        <v>65</v>
      </c>
      <c r="K341" t="str">
        <f t="shared" si="30"/>
        <v>Ray Mcbride</v>
      </c>
      <c r="L341" t="str">
        <f t="shared" si="31"/>
        <v>Female</v>
      </c>
      <c r="M341" t="str">
        <f t="shared" si="32"/>
        <v>Natalie Turner</v>
      </c>
      <c r="N341" s="4" t="str">
        <f t="shared" si="33"/>
        <v>General</v>
      </c>
      <c r="O341" s="6">
        <f t="shared" si="34"/>
        <v>135.41</v>
      </c>
      <c r="P341" s="4" t="str">
        <f t="shared" si="35"/>
        <v>No</v>
      </c>
      <c r="Q341" s="4" t="str">
        <f>IF(OR(A341="",C341="",L341="Missing",M341="Missing",O341="0.00",K341="Missing"),"Review","OK")</f>
        <v>OK</v>
      </c>
    </row>
    <row r="342" spans="1:17" x14ac:dyDescent="0.3">
      <c r="A342">
        <v>1044</v>
      </c>
      <c r="B342" t="s">
        <v>1106</v>
      </c>
      <c r="C342">
        <v>74</v>
      </c>
      <c r="D342" t="s">
        <v>16</v>
      </c>
      <c r="E342" s="3">
        <v>45749</v>
      </c>
      <c r="F342" s="3">
        <v>45676</v>
      </c>
      <c r="G342" t="s">
        <v>1107</v>
      </c>
      <c r="H342" t="s">
        <v>19</v>
      </c>
      <c r="I342" t="s">
        <v>1108</v>
      </c>
      <c r="J342">
        <v>0</v>
      </c>
      <c r="K342" t="str">
        <f t="shared" si="30"/>
        <v>Tammy Thomas</v>
      </c>
      <c r="L342" t="str">
        <f t="shared" si="31"/>
        <v>Female</v>
      </c>
      <c r="M342" t="str">
        <f t="shared" si="32"/>
        <v>Kurt Cain</v>
      </c>
      <c r="N342" s="4" t="str">
        <f t="shared" si="33"/>
        <v>Orthopedics</v>
      </c>
      <c r="O342" s="6">
        <f t="shared" si="34"/>
        <v>109.02</v>
      </c>
      <c r="P342" s="4" t="str">
        <f t="shared" si="35"/>
        <v>No</v>
      </c>
      <c r="Q342" s="4" t="str">
        <f>IF(OR(A342="",C342="",L342="Missing",M342="Missing",O342="0.00",K342="Missing"),"Review","OK")</f>
        <v>OK</v>
      </c>
    </row>
    <row r="343" spans="1:17" x14ac:dyDescent="0.3">
      <c r="A343">
        <v>1049</v>
      </c>
      <c r="B343" t="s">
        <v>1109</v>
      </c>
      <c r="C343">
        <v>65</v>
      </c>
      <c r="D343" t="s">
        <v>41</v>
      </c>
      <c r="E343" s="3" t="s">
        <v>1110</v>
      </c>
      <c r="F343" s="3">
        <v>45443</v>
      </c>
      <c r="G343" t="s">
        <v>1111</v>
      </c>
      <c r="H343" t="s">
        <v>13</v>
      </c>
      <c r="I343" t="s">
        <v>1112</v>
      </c>
      <c r="J343">
        <v>1</v>
      </c>
      <c r="K343" t="str">
        <f t="shared" si="30"/>
        <v>Kelly Mason</v>
      </c>
      <c r="L343" t="str">
        <f t="shared" si="31"/>
        <v>Female</v>
      </c>
      <c r="M343" t="str">
        <f t="shared" si="32"/>
        <v>Laura Edwards</v>
      </c>
      <c r="N343" s="4" t="str">
        <f t="shared" si="33"/>
        <v>Cardiology</v>
      </c>
      <c r="O343" s="6">
        <f t="shared" si="34"/>
        <v>205.16</v>
      </c>
      <c r="P343" s="4" t="str">
        <f t="shared" si="35"/>
        <v>Yes</v>
      </c>
      <c r="Q343" s="4" t="str">
        <f>IF(OR(A343="",C343="",L343="Missing",M343="Missing",O343="0.00",K343="Missing"),"Review","OK")</f>
        <v>OK</v>
      </c>
    </row>
    <row r="344" spans="1:17" x14ac:dyDescent="0.3">
      <c r="A344">
        <v>1095</v>
      </c>
      <c r="B344" t="s">
        <v>1113</v>
      </c>
      <c r="C344">
        <v>53</v>
      </c>
      <c r="D344" t="s">
        <v>16</v>
      </c>
      <c r="E344" s="3">
        <v>46104</v>
      </c>
      <c r="F344" s="3">
        <v>45749</v>
      </c>
      <c r="G344" t="s">
        <v>1114</v>
      </c>
      <c r="H344" t="s">
        <v>13</v>
      </c>
      <c r="J344" t="s">
        <v>21</v>
      </c>
      <c r="K344" t="str">
        <f t="shared" si="30"/>
        <v>Nicholas Kelly</v>
      </c>
      <c r="L344" t="str">
        <f t="shared" si="31"/>
        <v>Female</v>
      </c>
      <c r="M344" t="str">
        <f t="shared" si="32"/>
        <v>Paula Freeman</v>
      </c>
      <c r="N344" s="4" t="str">
        <f t="shared" si="33"/>
        <v>Cardiology</v>
      </c>
      <c r="O344" s="6" t="str">
        <f t="shared" si="34"/>
        <v>0.00</v>
      </c>
      <c r="P344" s="4" t="str">
        <f t="shared" si="35"/>
        <v>Yes</v>
      </c>
      <c r="Q344" s="4" t="str">
        <f>IF(OR(A344="",C344="",L344="Missing",M344="Missing",O344="0.00",K344="Missing"),"Review","OK")</f>
        <v>Review</v>
      </c>
    </row>
    <row r="345" spans="1:17" x14ac:dyDescent="0.3">
      <c r="A345">
        <v>1098</v>
      </c>
      <c r="B345" t="s">
        <v>1115</v>
      </c>
      <c r="C345">
        <v>48</v>
      </c>
      <c r="D345" t="s">
        <v>16</v>
      </c>
      <c r="E345" s="3">
        <v>46027</v>
      </c>
      <c r="F345" s="3">
        <v>45807</v>
      </c>
      <c r="G345" t="s">
        <v>1116</v>
      </c>
      <c r="H345" t="s">
        <v>29</v>
      </c>
      <c r="I345" t="s">
        <v>1117</v>
      </c>
      <c r="J345" t="s">
        <v>39</v>
      </c>
      <c r="K345" t="str">
        <f t="shared" si="30"/>
        <v>Anne Jones Dvm</v>
      </c>
      <c r="L345" t="str">
        <f t="shared" si="31"/>
        <v>Female</v>
      </c>
      <c r="M345" t="str">
        <f t="shared" si="32"/>
        <v>Linda French</v>
      </c>
      <c r="N345" s="4" t="str">
        <f t="shared" si="33"/>
        <v>General</v>
      </c>
      <c r="O345" s="6">
        <f t="shared" si="34"/>
        <v>296.43</v>
      </c>
      <c r="P345" s="4" t="str">
        <f t="shared" si="35"/>
        <v>Yes</v>
      </c>
      <c r="Q345" s="4" t="str">
        <f>IF(OR(A345="",C345="",L345="Missing",M345="Missing",O345="0.00",K345="Missing"),"Review","OK")</f>
        <v>OK</v>
      </c>
    </row>
    <row r="346" spans="1:17" x14ac:dyDescent="0.3">
      <c r="A346">
        <v>1066</v>
      </c>
      <c r="B346" t="s">
        <v>1118</v>
      </c>
      <c r="C346">
        <v>33</v>
      </c>
      <c r="D346" t="s">
        <v>23</v>
      </c>
      <c r="E346" s="3">
        <v>45840</v>
      </c>
      <c r="F346" s="3">
        <v>45518</v>
      </c>
      <c r="G346" t="s">
        <v>1119</v>
      </c>
      <c r="H346" t="s">
        <v>29</v>
      </c>
      <c r="I346" t="s">
        <v>1120</v>
      </c>
      <c r="J346" t="s">
        <v>31</v>
      </c>
      <c r="K346" t="str">
        <f t="shared" si="30"/>
        <v>Andrea Mendez</v>
      </c>
      <c r="L346" t="str">
        <f t="shared" si="31"/>
        <v>Male</v>
      </c>
      <c r="M346" t="str">
        <f t="shared" si="32"/>
        <v>Joshua Reed</v>
      </c>
      <c r="N346" s="4" t="str">
        <f t="shared" si="33"/>
        <v>General</v>
      </c>
      <c r="O346" s="6">
        <f t="shared" si="34"/>
        <v>233.98</v>
      </c>
      <c r="P346" s="4" t="str">
        <f t="shared" si="35"/>
        <v>No</v>
      </c>
      <c r="Q346" s="4" t="str">
        <f>IF(OR(A346="",C346="",L346="Missing",M346="Missing",O346="0.00",K346="Missing"),"Review","OK")</f>
        <v>OK</v>
      </c>
    </row>
    <row r="347" spans="1:17" x14ac:dyDescent="0.3">
      <c r="A347">
        <v>1014</v>
      </c>
      <c r="B347" t="s">
        <v>1121</v>
      </c>
      <c r="C347">
        <v>90</v>
      </c>
      <c r="E347" s="3">
        <v>46065</v>
      </c>
      <c r="F347" s="3" t="s">
        <v>1122</v>
      </c>
      <c r="G347" t="s">
        <v>1123</v>
      </c>
      <c r="H347" t="s">
        <v>19</v>
      </c>
      <c r="I347" t="s">
        <v>1124</v>
      </c>
      <c r="J347" t="s">
        <v>65</v>
      </c>
      <c r="K347" t="str">
        <f t="shared" si="30"/>
        <v>Jennifer Schwartz</v>
      </c>
      <c r="L347" t="str">
        <f t="shared" si="31"/>
        <v>Missing</v>
      </c>
      <c r="M347" t="str">
        <f t="shared" si="32"/>
        <v>Mrs. Michelle Ramsey</v>
      </c>
      <c r="N347" s="4" t="str">
        <f t="shared" si="33"/>
        <v>Orthopedics</v>
      </c>
      <c r="O347" s="6">
        <f t="shared" si="34"/>
        <v>474.34</v>
      </c>
      <c r="P347" s="4" t="str">
        <f t="shared" si="35"/>
        <v>No</v>
      </c>
      <c r="Q347" s="4" t="str">
        <f>IF(OR(A347="",C347="",L347="Missing",M347="Missing",O347="0.00",K347="Missing"),"Review","OK")</f>
        <v>Review</v>
      </c>
    </row>
    <row r="348" spans="1:17" x14ac:dyDescent="0.3">
      <c r="A348">
        <v>1003</v>
      </c>
      <c r="B348" t="s">
        <v>1125</v>
      </c>
      <c r="C348">
        <v>61</v>
      </c>
      <c r="D348">
        <v>1</v>
      </c>
      <c r="E348" s="3">
        <v>45869</v>
      </c>
      <c r="F348" s="3">
        <v>45770</v>
      </c>
      <c r="G348" t="s">
        <v>1126</v>
      </c>
      <c r="H348" t="s">
        <v>25</v>
      </c>
      <c r="I348" t="s">
        <v>1127</v>
      </c>
      <c r="J348">
        <v>0</v>
      </c>
      <c r="K348" t="str">
        <f t="shared" si="30"/>
        <v>Zachary Cross</v>
      </c>
      <c r="L348" t="str">
        <f t="shared" si="31"/>
        <v>Female</v>
      </c>
      <c r="M348" t="str">
        <f t="shared" si="32"/>
        <v>Toni Rodriguez</v>
      </c>
      <c r="N348" s="4" t="str">
        <f t="shared" si="33"/>
        <v>Neurology</v>
      </c>
      <c r="O348" s="6">
        <f t="shared" si="34"/>
        <v>317.83999999999997</v>
      </c>
      <c r="P348" s="4" t="str">
        <f t="shared" si="35"/>
        <v>No</v>
      </c>
      <c r="Q348" s="4" t="str">
        <f>IF(OR(A348="",C348="",L348="Missing",M348="Missing",O348="0.00",K348="Missing"),"Review","OK")</f>
        <v>OK</v>
      </c>
    </row>
    <row r="349" spans="1:17" x14ac:dyDescent="0.3">
      <c r="A349">
        <v>1056</v>
      </c>
      <c r="B349" t="s">
        <v>1128</v>
      </c>
      <c r="C349">
        <v>46</v>
      </c>
      <c r="D349">
        <v>1</v>
      </c>
      <c r="E349" s="3">
        <v>46093</v>
      </c>
      <c r="F349" s="3">
        <v>45880</v>
      </c>
      <c r="G349" t="s">
        <v>1129</v>
      </c>
      <c r="H349" t="s">
        <v>25</v>
      </c>
      <c r="I349" t="s">
        <v>1130</v>
      </c>
      <c r="J349">
        <v>0</v>
      </c>
      <c r="K349" t="str">
        <f t="shared" si="30"/>
        <v>Andrea Murray</v>
      </c>
      <c r="L349" t="str">
        <f t="shared" si="31"/>
        <v>Female</v>
      </c>
      <c r="M349" t="str">
        <f t="shared" si="32"/>
        <v>Alexa Martin</v>
      </c>
      <c r="N349" s="4" t="str">
        <f t="shared" si="33"/>
        <v>Neurology</v>
      </c>
      <c r="O349" s="6">
        <f t="shared" si="34"/>
        <v>435.55</v>
      </c>
      <c r="P349" s="4" t="str">
        <f t="shared" si="35"/>
        <v>No</v>
      </c>
      <c r="Q349" s="4" t="str">
        <f>IF(OR(A349="",C349="",L349="Missing",M349="Missing",O349="0.00",K349="Missing"),"Review","OK")</f>
        <v>OK</v>
      </c>
    </row>
    <row r="350" spans="1:17" x14ac:dyDescent="0.3">
      <c r="A350">
        <v>1033</v>
      </c>
      <c r="B350" t="s">
        <v>1131</v>
      </c>
      <c r="C350">
        <v>48</v>
      </c>
      <c r="D350">
        <v>0</v>
      </c>
      <c r="E350" s="3">
        <v>45838</v>
      </c>
      <c r="F350" s="3">
        <v>45681</v>
      </c>
      <c r="G350" t="s">
        <v>388</v>
      </c>
      <c r="H350" t="s">
        <v>19</v>
      </c>
      <c r="I350" t="s">
        <v>1132</v>
      </c>
      <c r="J350" t="s">
        <v>31</v>
      </c>
      <c r="K350" t="str">
        <f t="shared" si="30"/>
        <v>Michele Green</v>
      </c>
      <c r="L350" t="str">
        <f t="shared" si="31"/>
        <v>Male</v>
      </c>
      <c r="M350" t="str">
        <f t="shared" si="32"/>
        <v>Nancy Hernandez</v>
      </c>
      <c r="N350" s="4" t="str">
        <f t="shared" si="33"/>
        <v>Orthopedics</v>
      </c>
      <c r="O350" s="6">
        <f t="shared" si="34"/>
        <v>88.58</v>
      </c>
      <c r="P350" s="4" t="str">
        <f t="shared" si="35"/>
        <v>No</v>
      </c>
      <c r="Q350" s="4" t="str">
        <f>IF(OR(A350="",C350="",L350="Missing",M350="Missing",O350="0.00",K350="Missing"),"Review","OK")</f>
        <v>OK</v>
      </c>
    </row>
    <row r="351" spans="1:17" x14ac:dyDescent="0.3">
      <c r="A351">
        <v>1095</v>
      </c>
      <c r="B351" t="s">
        <v>1133</v>
      </c>
      <c r="C351">
        <v>37</v>
      </c>
      <c r="D351">
        <v>1</v>
      </c>
      <c r="E351" s="3">
        <v>45951</v>
      </c>
      <c r="F351" s="3">
        <v>45876</v>
      </c>
      <c r="G351" t="s">
        <v>1134</v>
      </c>
      <c r="H351" t="s">
        <v>13</v>
      </c>
      <c r="J351" t="s">
        <v>39</v>
      </c>
      <c r="K351" t="str">
        <f t="shared" si="30"/>
        <v>Summer Bishop</v>
      </c>
      <c r="L351" t="str">
        <f t="shared" si="31"/>
        <v>Female</v>
      </c>
      <c r="M351" t="str">
        <f t="shared" si="32"/>
        <v>Cynthia Green</v>
      </c>
      <c r="N351" s="4" t="str">
        <f t="shared" si="33"/>
        <v>Cardiology</v>
      </c>
      <c r="O351" s="6" t="str">
        <f t="shared" si="34"/>
        <v>0.00</v>
      </c>
      <c r="P351" s="4" t="str">
        <f t="shared" si="35"/>
        <v>Yes</v>
      </c>
      <c r="Q351" s="4" t="str">
        <f>IF(OR(A351="",C351="",L351="Missing",M351="Missing",O351="0.00",K351="Missing"),"Review","OK")</f>
        <v>Review</v>
      </c>
    </row>
    <row r="352" spans="1:17" x14ac:dyDescent="0.3">
      <c r="A352">
        <v>1036</v>
      </c>
      <c r="B352" t="s">
        <v>1135</v>
      </c>
      <c r="C352">
        <v>27</v>
      </c>
      <c r="D352" t="s">
        <v>76</v>
      </c>
      <c r="E352" s="3">
        <v>46101</v>
      </c>
      <c r="F352" s="3">
        <v>46062</v>
      </c>
      <c r="G352" t="s">
        <v>1136</v>
      </c>
      <c r="H352" t="s">
        <v>13</v>
      </c>
      <c r="I352" t="s">
        <v>1137</v>
      </c>
      <c r="J352" t="s">
        <v>21</v>
      </c>
      <c r="K352" t="str">
        <f t="shared" si="30"/>
        <v>Daniel Braun</v>
      </c>
      <c r="L352" t="str">
        <f t="shared" si="31"/>
        <v>Male</v>
      </c>
      <c r="M352" t="str">
        <f t="shared" si="32"/>
        <v>Tonya Kennedy</v>
      </c>
      <c r="N352" s="4" t="str">
        <f t="shared" si="33"/>
        <v>Cardiology</v>
      </c>
      <c r="O352" s="6">
        <f t="shared" si="34"/>
        <v>252.38</v>
      </c>
      <c r="P352" s="4" t="str">
        <f t="shared" si="35"/>
        <v>Yes</v>
      </c>
      <c r="Q352" s="4" t="str">
        <f>IF(OR(A352="",C352="",L352="Missing",M352="Missing",O352="0.00",K352="Missing"),"Review","OK")</f>
        <v>OK</v>
      </c>
    </row>
    <row r="353" spans="1:17" x14ac:dyDescent="0.3">
      <c r="A353">
        <v>1082</v>
      </c>
      <c r="B353" t="s">
        <v>1138</v>
      </c>
      <c r="C353">
        <v>29</v>
      </c>
      <c r="D353" t="s">
        <v>23</v>
      </c>
      <c r="E353" s="3">
        <v>45962</v>
      </c>
      <c r="F353" s="3">
        <v>45733</v>
      </c>
      <c r="G353" t="s">
        <v>1139</v>
      </c>
      <c r="H353" t="s">
        <v>25</v>
      </c>
      <c r="I353" t="s">
        <v>1140</v>
      </c>
      <c r="J353" t="s">
        <v>65</v>
      </c>
      <c r="K353" t="str">
        <f t="shared" si="30"/>
        <v>Kyle Jones</v>
      </c>
      <c r="L353" t="str">
        <f t="shared" si="31"/>
        <v>Male</v>
      </c>
      <c r="M353" t="str">
        <f t="shared" si="32"/>
        <v>Cheryl Mullins</v>
      </c>
      <c r="N353" s="4" t="str">
        <f t="shared" si="33"/>
        <v>Neurology</v>
      </c>
      <c r="O353" s="6">
        <f t="shared" si="34"/>
        <v>366.49</v>
      </c>
      <c r="P353" s="4" t="str">
        <f t="shared" si="35"/>
        <v>No</v>
      </c>
      <c r="Q353" s="4" t="str">
        <f>IF(OR(A353="",C353="",L353="Missing",M353="Missing",O353="0.00",K353="Missing"),"Review","OK")</f>
        <v>OK</v>
      </c>
    </row>
    <row r="354" spans="1:17" x14ac:dyDescent="0.3">
      <c r="A354">
        <v>1063</v>
      </c>
      <c r="B354" t="s">
        <v>1141</v>
      </c>
      <c r="C354">
        <v>36</v>
      </c>
      <c r="D354" t="s">
        <v>76</v>
      </c>
      <c r="E354" s="3">
        <v>45932</v>
      </c>
      <c r="F354" s="3">
        <v>45912</v>
      </c>
      <c r="G354" t="s">
        <v>1142</v>
      </c>
      <c r="H354" t="s">
        <v>29</v>
      </c>
      <c r="I354" t="s">
        <v>1143</v>
      </c>
      <c r="J354" t="s">
        <v>39</v>
      </c>
      <c r="K354" t="str">
        <f t="shared" si="30"/>
        <v>Erin Baker</v>
      </c>
      <c r="L354" t="str">
        <f t="shared" si="31"/>
        <v>Male</v>
      </c>
      <c r="M354" t="str">
        <f t="shared" si="32"/>
        <v>Carla King</v>
      </c>
      <c r="N354" s="4" t="str">
        <f t="shared" si="33"/>
        <v>General</v>
      </c>
      <c r="O354" s="6">
        <f t="shared" si="34"/>
        <v>239.5</v>
      </c>
      <c r="P354" s="4" t="str">
        <f t="shared" si="35"/>
        <v>Yes</v>
      </c>
      <c r="Q354" s="4" t="str">
        <f>IF(OR(A354="",C354="",L354="Missing",M354="Missing",O354="0.00",K354="Missing"),"Review","OK")</f>
        <v>OK</v>
      </c>
    </row>
    <row r="355" spans="1:17" x14ac:dyDescent="0.3">
      <c r="A355">
        <v>1003</v>
      </c>
      <c r="B355" t="s">
        <v>1144</v>
      </c>
      <c r="C355">
        <v>29</v>
      </c>
      <c r="D355" t="s">
        <v>11</v>
      </c>
      <c r="E355" s="3" t="s">
        <v>1145</v>
      </c>
      <c r="F355" s="3">
        <v>45386</v>
      </c>
      <c r="G355" t="s">
        <v>1146</v>
      </c>
      <c r="H355" t="s">
        <v>19</v>
      </c>
      <c r="I355" t="s">
        <v>1147</v>
      </c>
      <c r="J355" t="s">
        <v>65</v>
      </c>
      <c r="K355" t="str">
        <f t="shared" si="30"/>
        <v>Cheryl Calderon</v>
      </c>
      <c r="L355" t="str">
        <f t="shared" si="31"/>
        <v>Female</v>
      </c>
      <c r="M355" t="str">
        <f t="shared" si="32"/>
        <v>Michael Adams</v>
      </c>
      <c r="N355" s="4" t="str">
        <f t="shared" si="33"/>
        <v>Orthopedics</v>
      </c>
      <c r="O355" s="6">
        <f t="shared" si="34"/>
        <v>55.55</v>
      </c>
      <c r="P355" s="4" t="str">
        <f t="shared" si="35"/>
        <v>No</v>
      </c>
      <c r="Q355" s="4" t="str">
        <f>IF(OR(A355="",C355="",L355="Missing",M355="Missing",O355="0.00",K355="Missing"),"Review","OK")</f>
        <v>OK</v>
      </c>
    </row>
    <row r="356" spans="1:17" x14ac:dyDescent="0.3">
      <c r="A356">
        <v>1005</v>
      </c>
      <c r="B356" t="s">
        <v>1148</v>
      </c>
      <c r="C356">
        <v>64</v>
      </c>
      <c r="D356" t="s">
        <v>11</v>
      </c>
      <c r="E356" s="3">
        <v>45915</v>
      </c>
      <c r="F356" s="3" t="s">
        <v>132</v>
      </c>
      <c r="G356" t="s">
        <v>1149</v>
      </c>
      <c r="H356" t="s">
        <v>25</v>
      </c>
      <c r="I356" t="s">
        <v>1150</v>
      </c>
      <c r="J356" t="s">
        <v>31</v>
      </c>
      <c r="K356" t="str">
        <f t="shared" si="30"/>
        <v>Andrea Mcbride</v>
      </c>
      <c r="L356" t="str">
        <f t="shared" si="31"/>
        <v>Female</v>
      </c>
      <c r="M356" t="str">
        <f t="shared" si="32"/>
        <v>Laura Newman</v>
      </c>
      <c r="N356" s="4" t="str">
        <f t="shared" si="33"/>
        <v>Neurology</v>
      </c>
      <c r="O356" s="6">
        <f t="shared" si="34"/>
        <v>112.28</v>
      </c>
      <c r="P356" s="4" t="str">
        <f t="shared" si="35"/>
        <v>No</v>
      </c>
      <c r="Q356" s="4" t="str">
        <f>IF(OR(A356="",C356="",L356="Missing",M356="Missing",O356="0.00",K356="Missing"),"Review","OK")</f>
        <v>OK</v>
      </c>
    </row>
    <row r="357" spans="1:17" x14ac:dyDescent="0.3">
      <c r="A357">
        <v>1058</v>
      </c>
      <c r="B357" t="s">
        <v>1151</v>
      </c>
      <c r="C357">
        <v>36</v>
      </c>
      <c r="D357" t="s">
        <v>41</v>
      </c>
      <c r="E357" s="3">
        <v>46011</v>
      </c>
      <c r="F357" s="3">
        <v>45378</v>
      </c>
      <c r="G357" t="s">
        <v>1152</v>
      </c>
      <c r="H357" t="s">
        <v>29</v>
      </c>
      <c r="I357" t="s">
        <v>1153</v>
      </c>
      <c r="J357">
        <v>1</v>
      </c>
      <c r="K357" t="str">
        <f t="shared" si="30"/>
        <v>Danielle Barrett</v>
      </c>
      <c r="L357" t="str">
        <f t="shared" si="31"/>
        <v>Female</v>
      </c>
      <c r="M357" t="str">
        <f t="shared" si="32"/>
        <v>Gregory Griffin</v>
      </c>
      <c r="N357" s="4" t="str">
        <f t="shared" si="33"/>
        <v>General</v>
      </c>
      <c r="O357" s="6">
        <f t="shared" si="34"/>
        <v>386.16</v>
      </c>
      <c r="P357" s="4" t="str">
        <f t="shared" si="35"/>
        <v>Yes</v>
      </c>
      <c r="Q357" s="4" t="str">
        <f>IF(OR(A357="",C357="",L357="Missing",M357="Missing",O357="0.00",K357="Missing"),"Review","OK")</f>
        <v>OK</v>
      </c>
    </row>
    <row r="358" spans="1:17" x14ac:dyDescent="0.3">
      <c r="A358">
        <v>1061</v>
      </c>
      <c r="B358" t="s">
        <v>1154</v>
      </c>
      <c r="C358">
        <v>23</v>
      </c>
      <c r="D358" t="s">
        <v>56</v>
      </c>
      <c r="E358" s="3">
        <v>46235</v>
      </c>
      <c r="F358" s="3">
        <v>45625</v>
      </c>
      <c r="G358" t="s">
        <v>1155</v>
      </c>
      <c r="H358" t="s">
        <v>13</v>
      </c>
      <c r="I358" t="s">
        <v>1156</v>
      </c>
      <c r="J358" t="s">
        <v>65</v>
      </c>
      <c r="K358" t="str">
        <f t="shared" si="30"/>
        <v>Madison Wilson</v>
      </c>
      <c r="L358" t="str">
        <f t="shared" si="31"/>
        <v>Male</v>
      </c>
      <c r="M358" t="str">
        <f t="shared" si="32"/>
        <v>Ryan Steele</v>
      </c>
      <c r="N358" s="4" t="str">
        <f t="shared" si="33"/>
        <v>Cardiology</v>
      </c>
      <c r="O358" s="6">
        <f t="shared" si="34"/>
        <v>230.73</v>
      </c>
      <c r="P358" s="4" t="str">
        <f t="shared" si="35"/>
        <v>No</v>
      </c>
      <c r="Q358" s="4" t="str">
        <f>IF(OR(A358="",C358="",L358="Missing",M358="Missing",O358="0.00",K358="Missing"),"Review","OK")</f>
        <v>OK</v>
      </c>
    </row>
    <row r="359" spans="1:17" x14ac:dyDescent="0.3">
      <c r="A359">
        <v>1004</v>
      </c>
      <c r="B359" t="s">
        <v>1157</v>
      </c>
      <c r="C359">
        <v>63</v>
      </c>
      <c r="D359" t="s">
        <v>11</v>
      </c>
      <c r="E359" s="3">
        <v>45790</v>
      </c>
      <c r="F359" s="3">
        <v>45404</v>
      </c>
      <c r="G359" t="s">
        <v>1158</v>
      </c>
      <c r="H359" t="s">
        <v>29</v>
      </c>
      <c r="I359" t="s">
        <v>1159</v>
      </c>
      <c r="J359">
        <v>0</v>
      </c>
      <c r="K359" t="str">
        <f t="shared" si="30"/>
        <v>Thomas Crawford</v>
      </c>
      <c r="L359" t="str">
        <f t="shared" si="31"/>
        <v>Female</v>
      </c>
      <c r="M359" t="str">
        <f t="shared" si="32"/>
        <v>Ashley Shaw</v>
      </c>
      <c r="N359" s="4" t="str">
        <f t="shared" si="33"/>
        <v>General</v>
      </c>
      <c r="O359" s="6">
        <f t="shared" si="34"/>
        <v>296.85000000000002</v>
      </c>
      <c r="P359" s="4" t="str">
        <f t="shared" si="35"/>
        <v>No</v>
      </c>
      <c r="Q359" s="4" t="str">
        <f>IF(OR(A359="",C359="",L359="Missing",M359="Missing",O359="0.00",K359="Missing"),"Review","OK")</f>
        <v>OK</v>
      </c>
    </row>
    <row r="360" spans="1:17" x14ac:dyDescent="0.3">
      <c r="A360">
        <v>1057</v>
      </c>
      <c r="B360" t="s">
        <v>1160</v>
      </c>
      <c r="C360">
        <v>58</v>
      </c>
      <c r="D360">
        <v>1</v>
      </c>
      <c r="E360" s="3">
        <v>45908</v>
      </c>
      <c r="F360" s="3">
        <v>45712</v>
      </c>
      <c r="G360" t="s">
        <v>1161</v>
      </c>
      <c r="H360" t="s">
        <v>13</v>
      </c>
      <c r="I360" t="s">
        <v>1162</v>
      </c>
      <c r="J360">
        <v>0</v>
      </c>
      <c r="K360" t="str">
        <f t="shared" si="30"/>
        <v>Sheila Thomas</v>
      </c>
      <c r="L360" t="str">
        <f t="shared" si="31"/>
        <v>Female</v>
      </c>
      <c r="M360" t="str">
        <f t="shared" si="32"/>
        <v>Catherine Gamble</v>
      </c>
      <c r="N360" s="4" t="str">
        <f t="shared" si="33"/>
        <v>Cardiology</v>
      </c>
      <c r="O360" s="6">
        <f t="shared" si="34"/>
        <v>64.790000000000006</v>
      </c>
      <c r="P360" s="4" t="str">
        <f t="shared" si="35"/>
        <v>No</v>
      </c>
      <c r="Q360" s="4" t="str">
        <f>IF(OR(A360="",C360="",L360="Missing",M360="Missing",O360="0.00",K360="Missing"),"Review","OK")</f>
        <v>OK</v>
      </c>
    </row>
    <row r="361" spans="1:17" x14ac:dyDescent="0.3">
      <c r="A361">
        <v>1036</v>
      </c>
      <c r="B361" t="s">
        <v>1163</v>
      </c>
      <c r="C361">
        <v>38</v>
      </c>
      <c r="D361" t="s">
        <v>41</v>
      </c>
      <c r="E361" s="3">
        <v>45978</v>
      </c>
      <c r="F361" s="3">
        <v>45574</v>
      </c>
      <c r="G361" t="s">
        <v>1164</v>
      </c>
      <c r="H361" t="s">
        <v>25</v>
      </c>
      <c r="I361" t="s">
        <v>1165</v>
      </c>
      <c r="J361" t="s">
        <v>39</v>
      </c>
      <c r="K361" t="str">
        <f t="shared" si="30"/>
        <v>Daniel Long</v>
      </c>
      <c r="L361" t="str">
        <f t="shared" si="31"/>
        <v>Female</v>
      </c>
      <c r="M361" t="str">
        <f t="shared" si="32"/>
        <v>Jean Lawson Dds</v>
      </c>
      <c r="N361" s="4" t="str">
        <f t="shared" si="33"/>
        <v>Neurology</v>
      </c>
      <c r="O361" s="6">
        <f t="shared" si="34"/>
        <v>101.1</v>
      </c>
      <c r="P361" s="4" t="str">
        <f t="shared" si="35"/>
        <v>Yes</v>
      </c>
      <c r="Q361" s="4" t="str">
        <f>IF(OR(A361="",C361="",L361="Missing",M361="Missing",O361="0.00",K361="Missing"),"Review","OK")</f>
        <v>OK</v>
      </c>
    </row>
    <row r="362" spans="1:17" x14ac:dyDescent="0.3">
      <c r="A362">
        <v>1095</v>
      </c>
      <c r="B362" t="s">
        <v>1166</v>
      </c>
      <c r="C362">
        <v>60</v>
      </c>
      <c r="D362" t="s">
        <v>41</v>
      </c>
      <c r="E362" s="3">
        <v>46013</v>
      </c>
      <c r="F362" s="3">
        <v>45429</v>
      </c>
      <c r="G362" t="s">
        <v>1167</v>
      </c>
      <c r="H362" t="s">
        <v>29</v>
      </c>
      <c r="I362" t="s">
        <v>1168</v>
      </c>
      <c r="J362" t="s">
        <v>39</v>
      </c>
      <c r="K362" t="str">
        <f t="shared" si="30"/>
        <v>James Fox</v>
      </c>
      <c r="L362" t="str">
        <f t="shared" si="31"/>
        <v>Female</v>
      </c>
      <c r="M362" t="str">
        <f t="shared" si="32"/>
        <v>Victoria Osborne</v>
      </c>
      <c r="N362" s="4" t="str">
        <f t="shared" si="33"/>
        <v>General</v>
      </c>
      <c r="O362" s="6">
        <f t="shared" si="34"/>
        <v>204.86</v>
      </c>
      <c r="P362" s="4" t="str">
        <f t="shared" si="35"/>
        <v>Yes</v>
      </c>
      <c r="Q362" s="4" t="str">
        <f>IF(OR(A362="",C362="",L362="Missing",M362="Missing",O362="0.00",K362="Missing"),"Review","OK")</f>
        <v>OK</v>
      </c>
    </row>
    <row r="363" spans="1:17" x14ac:dyDescent="0.3">
      <c r="A363">
        <v>1036</v>
      </c>
      <c r="B363" t="s">
        <v>1169</v>
      </c>
      <c r="C363">
        <v>87</v>
      </c>
      <c r="D363">
        <v>1</v>
      </c>
      <c r="E363" s="3">
        <v>45869</v>
      </c>
      <c r="F363" s="3">
        <v>45598</v>
      </c>
      <c r="G363" t="s">
        <v>1170</v>
      </c>
      <c r="H363" t="s">
        <v>13</v>
      </c>
      <c r="I363" t="s">
        <v>1171</v>
      </c>
      <c r="J363">
        <v>1</v>
      </c>
      <c r="K363" t="str">
        <f t="shared" si="30"/>
        <v>Evan Price</v>
      </c>
      <c r="L363" t="str">
        <f t="shared" si="31"/>
        <v>Female</v>
      </c>
      <c r="M363" t="str">
        <f t="shared" si="32"/>
        <v>Brooke Ramos</v>
      </c>
      <c r="N363" s="4" t="str">
        <f t="shared" si="33"/>
        <v>Cardiology</v>
      </c>
      <c r="O363" s="6">
        <f t="shared" si="34"/>
        <v>369.12</v>
      </c>
      <c r="P363" s="4" t="str">
        <f t="shared" si="35"/>
        <v>Yes</v>
      </c>
      <c r="Q363" s="4" t="str">
        <f>IF(OR(A363="",C363="",L363="Missing",M363="Missing",O363="0.00",K363="Missing"),"Review","OK")</f>
        <v>OK</v>
      </c>
    </row>
    <row r="364" spans="1:17" x14ac:dyDescent="0.3">
      <c r="A364">
        <v>1049</v>
      </c>
      <c r="B364" t="s">
        <v>1172</v>
      </c>
      <c r="C364">
        <v>58</v>
      </c>
      <c r="D364" t="s">
        <v>11</v>
      </c>
      <c r="E364" s="3">
        <v>45846</v>
      </c>
      <c r="F364" s="3">
        <v>45689</v>
      </c>
      <c r="G364" t="s">
        <v>1173</v>
      </c>
      <c r="H364" t="s">
        <v>13</v>
      </c>
      <c r="I364" t="s">
        <v>1174</v>
      </c>
      <c r="J364" t="s">
        <v>21</v>
      </c>
      <c r="K364" t="str">
        <f t="shared" si="30"/>
        <v>Vanessa Graves</v>
      </c>
      <c r="L364" t="str">
        <f t="shared" si="31"/>
        <v>Female</v>
      </c>
      <c r="M364" t="str">
        <f t="shared" si="32"/>
        <v>Leslie Smith</v>
      </c>
      <c r="N364" s="4" t="str">
        <f t="shared" si="33"/>
        <v>Cardiology</v>
      </c>
      <c r="O364" s="6">
        <f t="shared" si="34"/>
        <v>474.33</v>
      </c>
      <c r="P364" s="4" t="str">
        <f t="shared" si="35"/>
        <v>Yes</v>
      </c>
      <c r="Q364" s="4" t="str">
        <f>IF(OR(A364="",C364="",L364="Missing",M364="Missing",O364="0.00",K364="Missing"),"Review","OK")</f>
        <v>OK</v>
      </c>
    </row>
    <row r="365" spans="1:17" x14ac:dyDescent="0.3">
      <c r="A365">
        <v>1036</v>
      </c>
      <c r="B365" t="s">
        <v>1175</v>
      </c>
      <c r="C365">
        <v>20</v>
      </c>
      <c r="D365">
        <v>1</v>
      </c>
      <c r="E365" s="3">
        <v>45895</v>
      </c>
      <c r="F365" s="3">
        <v>45901</v>
      </c>
      <c r="G365" t="s">
        <v>1176</v>
      </c>
      <c r="H365" t="s">
        <v>13</v>
      </c>
      <c r="I365" t="s">
        <v>1177</v>
      </c>
      <c r="J365" t="s">
        <v>31</v>
      </c>
      <c r="K365" t="str">
        <f t="shared" si="30"/>
        <v>Barbara Drake</v>
      </c>
      <c r="L365" t="str">
        <f t="shared" si="31"/>
        <v>Female</v>
      </c>
      <c r="M365" t="str">
        <f t="shared" si="32"/>
        <v>Julie Jacobs</v>
      </c>
      <c r="N365" s="4" t="str">
        <f t="shared" si="33"/>
        <v>Cardiology</v>
      </c>
      <c r="O365" s="6">
        <f t="shared" si="34"/>
        <v>285.97000000000003</v>
      </c>
      <c r="P365" s="4" t="str">
        <f t="shared" si="35"/>
        <v>No</v>
      </c>
      <c r="Q365" s="4" t="str">
        <f>IF(OR(A365="",C365="",L365="Missing",M365="Missing",O365="0.00",K365="Missing"),"Review","OK")</f>
        <v>OK</v>
      </c>
    </row>
    <row r="366" spans="1:17" x14ac:dyDescent="0.3">
      <c r="A366">
        <v>1050</v>
      </c>
      <c r="B366" t="s">
        <v>1178</v>
      </c>
      <c r="C366">
        <v>81</v>
      </c>
      <c r="E366" s="3">
        <v>46070</v>
      </c>
      <c r="F366" s="3">
        <v>45750</v>
      </c>
      <c r="G366" t="s">
        <v>360</v>
      </c>
      <c r="H366" t="s">
        <v>25</v>
      </c>
      <c r="I366" t="s">
        <v>1179</v>
      </c>
      <c r="J366" t="s">
        <v>21</v>
      </c>
      <c r="K366" t="str">
        <f t="shared" si="30"/>
        <v>Logan Gonzalez</v>
      </c>
      <c r="L366" t="str">
        <f t="shared" si="31"/>
        <v>Missing</v>
      </c>
      <c r="M366" t="str">
        <f t="shared" si="32"/>
        <v>John Anderson</v>
      </c>
      <c r="N366" s="4" t="str">
        <f t="shared" si="33"/>
        <v>Neurology</v>
      </c>
      <c r="O366" s="6">
        <f t="shared" si="34"/>
        <v>209.27</v>
      </c>
      <c r="P366" s="4" t="str">
        <f t="shared" si="35"/>
        <v>Yes</v>
      </c>
      <c r="Q366" s="4" t="str">
        <f>IF(OR(A366="",C366="",L366="Missing",M366="Missing",O366="0.00",K366="Missing"),"Review","OK")</f>
        <v>Review</v>
      </c>
    </row>
    <row r="367" spans="1:17" x14ac:dyDescent="0.3">
      <c r="A367">
        <v>1019</v>
      </c>
      <c r="B367" t="s">
        <v>1180</v>
      </c>
      <c r="C367">
        <v>38</v>
      </c>
      <c r="E367" s="3" t="s">
        <v>1181</v>
      </c>
      <c r="F367" s="3">
        <v>45883</v>
      </c>
      <c r="G367" t="s">
        <v>1182</v>
      </c>
      <c r="H367" t="s">
        <v>19</v>
      </c>
      <c r="I367" t="s">
        <v>1183</v>
      </c>
      <c r="J367">
        <v>1</v>
      </c>
      <c r="K367" t="str">
        <f t="shared" si="30"/>
        <v>Brittney Gonzales</v>
      </c>
      <c r="L367" t="str">
        <f t="shared" si="31"/>
        <v>Missing</v>
      </c>
      <c r="M367" t="str">
        <f t="shared" si="32"/>
        <v>Kimberly Caldwell</v>
      </c>
      <c r="N367" s="4" t="str">
        <f t="shared" si="33"/>
        <v>Orthopedics</v>
      </c>
      <c r="O367" s="6">
        <f t="shared" si="34"/>
        <v>347.87</v>
      </c>
      <c r="P367" s="4" t="str">
        <f t="shared" si="35"/>
        <v>Yes</v>
      </c>
      <c r="Q367" s="4" t="str">
        <f>IF(OR(A367="",C367="",L367="Missing",M367="Missing",O367="0.00",K367="Missing"),"Review","OK")</f>
        <v>Review</v>
      </c>
    </row>
    <row r="368" spans="1:17" x14ac:dyDescent="0.3">
      <c r="A368">
        <v>1082</v>
      </c>
      <c r="B368" t="s">
        <v>1184</v>
      </c>
      <c r="C368">
        <v>56</v>
      </c>
      <c r="D368" t="s">
        <v>23</v>
      </c>
      <c r="E368" s="3">
        <v>45917</v>
      </c>
      <c r="F368" s="3" t="s">
        <v>809</v>
      </c>
      <c r="G368" t="s">
        <v>1185</v>
      </c>
      <c r="H368" t="s">
        <v>13</v>
      </c>
      <c r="J368" t="s">
        <v>21</v>
      </c>
      <c r="K368" t="str">
        <f t="shared" si="30"/>
        <v>Nichole Phillips</v>
      </c>
      <c r="L368" t="str">
        <f t="shared" si="31"/>
        <v>Male</v>
      </c>
      <c r="M368" t="str">
        <f t="shared" si="32"/>
        <v>Michael Jackson</v>
      </c>
      <c r="N368" s="4" t="str">
        <f t="shared" si="33"/>
        <v>Cardiology</v>
      </c>
      <c r="O368" s="6" t="str">
        <f t="shared" si="34"/>
        <v>0.00</v>
      </c>
      <c r="P368" s="4" t="str">
        <f t="shared" si="35"/>
        <v>Yes</v>
      </c>
      <c r="Q368" s="4" t="str">
        <f>IF(OR(A368="",C368="",L368="Missing",M368="Missing",O368="0.00",K368="Missing"),"Review","OK")</f>
        <v>Review</v>
      </c>
    </row>
    <row r="369" spans="1:17" x14ac:dyDescent="0.3">
      <c r="A369">
        <v>1074</v>
      </c>
      <c r="B369" t="s">
        <v>1186</v>
      </c>
      <c r="C369">
        <v>67</v>
      </c>
      <c r="D369" t="s">
        <v>16</v>
      </c>
      <c r="E369" s="3">
        <v>45905</v>
      </c>
      <c r="F369" s="3">
        <v>45431</v>
      </c>
      <c r="G369" t="s">
        <v>1187</v>
      </c>
      <c r="H369" t="s">
        <v>25</v>
      </c>
      <c r="I369" t="s">
        <v>1188</v>
      </c>
      <c r="J369" t="s">
        <v>21</v>
      </c>
      <c r="K369" t="str">
        <f t="shared" si="30"/>
        <v>James Wise</v>
      </c>
      <c r="L369" t="str">
        <f t="shared" si="31"/>
        <v>Female</v>
      </c>
      <c r="M369" t="str">
        <f t="shared" si="32"/>
        <v>Karen Schmidt</v>
      </c>
      <c r="N369" s="4" t="str">
        <f t="shared" si="33"/>
        <v>Neurology</v>
      </c>
      <c r="O369" s="6">
        <f t="shared" si="34"/>
        <v>98.07</v>
      </c>
      <c r="P369" s="4" t="str">
        <f t="shared" si="35"/>
        <v>Yes</v>
      </c>
      <c r="Q369" s="4" t="str">
        <f>IF(OR(A369="",C369="",L369="Missing",M369="Missing",O369="0.00",K369="Missing"),"Review","OK")</f>
        <v>OK</v>
      </c>
    </row>
    <row r="370" spans="1:17" x14ac:dyDescent="0.3">
      <c r="A370">
        <v>1084</v>
      </c>
      <c r="B370" t="s">
        <v>1189</v>
      </c>
      <c r="C370">
        <v>64</v>
      </c>
      <c r="D370" t="s">
        <v>76</v>
      </c>
      <c r="E370" s="3" t="s">
        <v>1190</v>
      </c>
      <c r="F370" s="3">
        <v>45766</v>
      </c>
      <c r="G370" t="s">
        <v>1191</v>
      </c>
      <c r="H370" t="s">
        <v>19</v>
      </c>
      <c r="I370" t="s">
        <v>1192</v>
      </c>
      <c r="J370">
        <v>1</v>
      </c>
      <c r="K370" t="str">
        <f t="shared" si="30"/>
        <v>Logan Sampson</v>
      </c>
      <c r="L370" t="str">
        <f t="shared" si="31"/>
        <v>Male</v>
      </c>
      <c r="M370" t="str">
        <f t="shared" si="32"/>
        <v>Tiffany Melendez</v>
      </c>
      <c r="N370" s="4" t="str">
        <f t="shared" si="33"/>
        <v>Orthopedics</v>
      </c>
      <c r="O370" s="6">
        <f t="shared" si="34"/>
        <v>154.03</v>
      </c>
      <c r="P370" s="4" t="str">
        <f t="shared" si="35"/>
        <v>Yes</v>
      </c>
      <c r="Q370" s="4" t="str">
        <f>IF(OR(A370="",C370="",L370="Missing",M370="Missing",O370="0.00",K370="Missing"),"Review","OK")</f>
        <v>OK</v>
      </c>
    </row>
    <row r="371" spans="1:17" x14ac:dyDescent="0.3">
      <c r="A371">
        <v>1084</v>
      </c>
      <c r="B371" t="s">
        <v>1193</v>
      </c>
      <c r="C371">
        <v>79</v>
      </c>
      <c r="D371" t="s">
        <v>16</v>
      </c>
      <c r="E371" s="3" t="s">
        <v>1194</v>
      </c>
      <c r="F371" s="3">
        <v>45992</v>
      </c>
      <c r="G371" t="s">
        <v>1195</v>
      </c>
      <c r="H371" t="s">
        <v>25</v>
      </c>
      <c r="I371" t="s">
        <v>1196</v>
      </c>
      <c r="J371" t="s">
        <v>39</v>
      </c>
      <c r="K371" t="str">
        <f t="shared" si="30"/>
        <v>Tamara Ramirez Md</v>
      </c>
      <c r="L371" t="str">
        <f t="shared" si="31"/>
        <v>Female</v>
      </c>
      <c r="M371" t="str">
        <f t="shared" si="32"/>
        <v>Emily Mcintosh</v>
      </c>
      <c r="N371" s="4" t="str">
        <f t="shared" si="33"/>
        <v>Neurology</v>
      </c>
      <c r="O371" s="6">
        <f t="shared" si="34"/>
        <v>126.87</v>
      </c>
      <c r="P371" s="4" t="str">
        <f t="shared" si="35"/>
        <v>Yes</v>
      </c>
      <c r="Q371" s="4" t="str">
        <f>IF(OR(A371="",C371="",L371="Missing",M371="Missing",O371="0.00",K371="Missing"),"Review","OK")</f>
        <v>OK</v>
      </c>
    </row>
    <row r="372" spans="1:17" x14ac:dyDescent="0.3">
      <c r="A372">
        <v>1004</v>
      </c>
      <c r="B372" t="s">
        <v>1197</v>
      </c>
      <c r="C372">
        <v>27</v>
      </c>
      <c r="D372" t="s">
        <v>23</v>
      </c>
      <c r="E372" s="3" t="s">
        <v>1198</v>
      </c>
      <c r="F372" s="3">
        <v>45545</v>
      </c>
      <c r="G372" t="s">
        <v>1199</v>
      </c>
      <c r="H372" t="s">
        <v>25</v>
      </c>
      <c r="J372" t="s">
        <v>39</v>
      </c>
      <c r="K372" t="str">
        <f t="shared" si="30"/>
        <v>Sheryl Lopez</v>
      </c>
      <c r="L372" t="str">
        <f t="shared" si="31"/>
        <v>Male</v>
      </c>
      <c r="M372" t="str">
        <f t="shared" si="32"/>
        <v>Barbara Alvarado</v>
      </c>
      <c r="N372" s="4" t="str">
        <f t="shared" si="33"/>
        <v>Neurology</v>
      </c>
      <c r="O372" s="6" t="str">
        <f t="shared" si="34"/>
        <v>0.00</v>
      </c>
      <c r="P372" s="4" t="str">
        <f t="shared" si="35"/>
        <v>Yes</v>
      </c>
      <c r="Q372" s="4" t="str">
        <f>IF(OR(A372="",C372="",L372="Missing",M372="Missing",O372="0.00",K372="Missing"),"Review","OK")</f>
        <v>Review</v>
      </c>
    </row>
    <row r="373" spans="1:17" x14ac:dyDescent="0.3">
      <c r="A373">
        <v>1006</v>
      </c>
      <c r="B373" t="s">
        <v>1200</v>
      </c>
      <c r="C373">
        <v>42</v>
      </c>
      <c r="D373" t="s">
        <v>76</v>
      </c>
      <c r="E373" s="3">
        <v>45965</v>
      </c>
      <c r="F373" s="3">
        <v>45601</v>
      </c>
      <c r="G373" t="s">
        <v>1201</v>
      </c>
      <c r="H373" t="s">
        <v>19</v>
      </c>
      <c r="J373" t="s">
        <v>39</v>
      </c>
      <c r="K373" t="str">
        <f t="shared" si="30"/>
        <v>Shannon Ramos</v>
      </c>
      <c r="L373" t="str">
        <f t="shared" si="31"/>
        <v>Male</v>
      </c>
      <c r="M373" t="str">
        <f t="shared" si="32"/>
        <v>James Huber</v>
      </c>
      <c r="N373" s="4" t="str">
        <f t="shared" si="33"/>
        <v>Orthopedics</v>
      </c>
      <c r="O373" s="6" t="str">
        <f t="shared" si="34"/>
        <v>0.00</v>
      </c>
      <c r="P373" s="4" t="str">
        <f t="shared" si="35"/>
        <v>Yes</v>
      </c>
      <c r="Q373" s="4" t="str">
        <f>IF(OR(A373="",C373="",L373="Missing",M373="Missing",O373="0.00",K373="Missing"),"Review","OK")</f>
        <v>Review</v>
      </c>
    </row>
    <row r="374" spans="1:17" x14ac:dyDescent="0.3">
      <c r="A374">
        <v>1096</v>
      </c>
      <c r="B374" t="s">
        <v>1202</v>
      </c>
      <c r="C374">
        <v>83</v>
      </c>
      <c r="D374" t="s">
        <v>11</v>
      </c>
      <c r="E374" s="3">
        <v>46102</v>
      </c>
      <c r="F374" s="3">
        <v>46000</v>
      </c>
      <c r="G374" t="s">
        <v>1203</v>
      </c>
      <c r="H374" t="s">
        <v>25</v>
      </c>
      <c r="I374" t="s">
        <v>1204</v>
      </c>
      <c r="J374">
        <v>1</v>
      </c>
      <c r="K374" t="str">
        <f t="shared" si="30"/>
        <v>Daniel Vazquez</v>
      </c>
      <c r="L374" t="str">
        <f t="shared" si="31"/>
        <v>Female</v>
      </c>
      <c r="M374" t="str">
        <f t="shared" si="32"/>
        <v>Lisa Fry</v>
      </c>
      <c r="N374" s="4" t="str">
        <f t="shared" si="33"/>
        <v>Neurology</v>
      </c>
      <c r="O374" s="6">
        <f t="shared" si="34"/>
        <v>194.82</v>
      </c>
      <c r="P374" s="4" t="str">
        <f t="shared" si="35"/>
        <v>Yes</v>
      </c>
      <c r="Q374" s="4" t="str">
        <f>IF(OR(A374="",C374="",L374="Missing",M374="Missing",O374="0.00",K374="Missing"),"Review","OK")</f>
        <v>OK</v>
      </c>
    </row>
    <row r="375" spans="1:17" x14ac:dyDescent="0.3">
      <c r="A375">
        <v>1022</v>
      </c>
      <c r="B375" t="s">
        <v>1205</v>
      </c>
      <c r="C375">
        <v>19</v>
      </c>
      <c r="D375">
        <v>1</v>
      </c>
      <c r="E375" s="3">
        <v>45949</v>
      </c>
      <c r="F375" s="3" t="s">
        <v>1206</v>
      </c>
      <c r="G375" t="s">
        <v>1207</v>
      </c>
      <c r="H375" t="s">
        <v>19</v>
      </c>
      <c r="I375" t="s">
        <v>1208</v>
      </c>
      <c r="J375" t="s">
        <v>39</v>
      </c>
      <c r="K375" t="str">
        <f t="shared" si="30"/>
        <v>Kimberly Heath</v>
      </c>
      <c r="L375" t="str">
        <f t="shared" si="31"/>
        <v>Female</v>
      </c>
      <c r="M375" t="str">
        <f t="shared" si="32"/>
        <v>Amber Avila</v>
      </c>
      <c r="N375" s="4" t="str">
        <f t="shared" si="33"/>
        <v>Orthopedics</v>
      </c>
      <c r="O375" s="6">
        <f t="shared" si="34"/>
        <v>145.75</v>
      </c>
      <c r="P375" s="4" t="str">
        <f t="shared" si="35"/>
        <v>Yes</v>
      </c>
      <c r="Q375" s="4" t="str">
        <f>IF(OR(A375="",C375="",L375="Missing",M375="Missing",O375="0.00",K375="Missing"),"Review","OK")</f>
        <v>OK</v>
      </c>
    </row>
    <row r="376" spans="1:17" x14ac:dyDescent="0.3">
      <c r="A376">
        <v>1089</v>
      </c>
      <c r="B376" t="s">
        <v>1209</v>
      </c>
      <c r="C376">
        <v>35</v>
      </c>
      <c r="D376">
        <v>0</v>
      </c>
      <c r="E376" s="3">
        <v>45959</v>
      </c>
      <c r="F376" s="3">
        <v>45817</v>
      </c>
      <c r="G376" t="s">
        <v>1210</v>
      </c>
      <c r="H376" t="s">
        <v>13</v>
      </c>
      <c r="I376" t="s">
        <v>1211</v>
      </c>
      <c r="J376" t="s">
        <v>31</v>
      </c>
      <c r="K376" t="str">
        <f t="shared" si="30"/>
        <v>Tammy Yates</v>
      </c>
      <c r="L376" t="str">
        <f t="shared" si="31"/>
        <v>Male</v>
      </c>
      <c r="M376" t="str">
        <f t="shared" si="32"/>
        <v>Nancy Luna</v>
      </c>
      <c r="N376" s="4" t="str">
        <f t="shared" si="33"/>
        <v>Cardiology</v>
      </c>
      <c r="O376" s="6">
        <f t="shared" si="34"/>
        <v>58.55</v>
      </c>
      <c r="P376" s="4" t="str">
        <f t="shared" si="35"/>
        <v>No</v>
      </c>
      <c r="Q376" s="4" t="str">
        <f>IF(OR(A376="",C376="",L376="Missing",M376="Missing",O376="0.00",K376="Missing"),"Review","OK")</f>
        <v>OK</v>
      </c>
    </row>
    <row r="377" spans="1:17" x14ac:dyDescent="0.3">
      <c r="A377">
        <v>1058</v>
      </c>
      <c r="B377" t="s">
        <v>1212</v>
      </c>
      <c r="C377">
        <v>29</v>
      </c>
      <c r="D377" t="s">
        <v>76</v>
      </c>
      <c r="E377" s="3">
        <v>45807</v>
      </c>
      <c r="F377" s="3">
        <v>45377</v>
      </c>
      <c r="G377" t="s">
        <v>1213</v>
      </c>
      <c r="H377" t="s">
        <v>29</v>
      </c>
      <c r="I377" t="s">
        <v>1214</v>
      </c>
      <c r="J377" t="s">
        <v>39</v>
      </c>
      <c r="K377" t="str">
        <f t="shared" si="30"/>
        <v>Alison Wolfe</v>
      </c>
      <c r="L377" t="str">
        <f t="shared" si="31"/>
        <v>Male</v>
      </c>
      <c r="M377" t="str">
        <f t="shared" si="32"/>
        <v>Michelle Thomas</v>
      </c>
      <c r="N377" s="4" t="str">
        <f t="shared" si="33"/>
        <v>General</v>
      </c>
      <c r="O377" s="6">
        <f t="shared" si="34"/>
        <v>481.22</v>
      </c>
      <c r="P377" s="4" t="str">
        <f t="shared" si="35"/>
        <v>Yes</v>
      </c>
      <c r="Q377" s="4" t="str">
        <f>IF(OR(A377="",C377="",L377="Missing",M377="Missing",O377="0.00",K377="Missing"),"Review","OK")</f>
        <v>OK</v>
      </c>
    </row>
    <row r="378" spans="1:17" x14ac:dyDescent="0.3">
      <c r="A378">
        <v>1024</v>
      </c>
      <c r="B378" t="s">
        <v>1215</v>
      </c>
      <c r="C378">
        <v>55</v>
      </c>
      <c r="D378" t="s">
        <v>16</v>
      </c>
      <c r="E378" s="3">
        <v>45942</v>
      </c>
      <c r="F378" s="3">
        <v>45593</v>
      </c>
      <c r="G378" t="s">
        <v>1216</v>
      </c>
      <c r="H378" t="s">
        <v>29</v>
      </c>
      <c r="I378" t="s">
        <v>1217</v>
      </c>
      <c r="J378" t="s">
        <v>21</v>
      </c>
      <c r="K378" t="str">
        <f t="shared" si="30"/>
        <v>Natalie Miller</v>
      </c>
      <c r="L378" t="str">
        <f t="shared" si="31"/>
        <v>Female</v>
      </c>
      <c r="M378" t="str">
        <f t="shared" si="32"/>
        <v>Derrick Glass</v>
      </c>
      <c r="N378" s="4" t="str">
        <f t="shared" si="33"/>
        <v>General</v>
      </c>
      <c r="O378" s="6">
        <f t="shared" si="34"/>
        <v>56.37</v>
      </c>
      <c r="P378" s="4" t="str">
        <f t="shared" si="35"/>
        <v>Yes</v>
      </c>
      <c r="Q378" s="4" t="str">
        <f>IF(OR(A378="",C378="",L378="Missing",M378="Missing",O378="0.00",K378="Missing"),"Review","OK")</f>
        <v>OK</v>
      </c>
    </row>
    <row r="379" spans="1:17" x14ac:dyDescent="0.3">
      <c r="A379">
        <v>1016</v>
      </c>
      <c r="B379" t="s">
        <v>1218</v>
      </c>
      <c r="C379">
        <v>81</v>
      </c>
      <c r="D379" t="s">
        <v>41</v>
      </c>
      <c r="E379" s="3">
        <v>45859</v>
      </c>
      <c r="F379" s="3">
        <v>45481</v>
      </c>
      <c r="G379" t="s">
        <v>1219</v>
      </c>
      <c r="H379" t="s">
        <v>29</v>
      </c>
      <c r="I379" t="s">
        <v>1220</v>
      </c>
      <c r="J379">
        <v>1</v>
      </c>
      <c r="K379" t="str">
        <f t="shared" si="30"/>
        <v>Kara Schneider</v>
      </c>
      <c r="L379" t="str">
        <f t="shared" si="31"/>
        <v>Female</v>
      </c>
      <c r="M379" t="str">
        <f t="shared" si="32"/>
        <v>Ivan Russo</v>
      </c>
      <c r="N379" s="4" t="str">
        <f t="shared" si="33"/>
        <v>General</v>
      </c>
      <c r="O379" s="6">
        <f t="shared" si="34"/>
        <v>456.26</v>
      </c>
      <c r="P379" s="4" t="str">
        <f t="shared" si="35"/>
        <v>Yes</v>
      </c>
      <c r="Q379" s="4" t="str">
        <f>IF(OR(A379="",C379="",L379="Missing",M379="Missing",O379="0.00",K379="Missing"),"Review","OK")</f>
        <v>OK</v>
      </c>
    </row>
    <row r="380" spans="1:17" x14ac:dyDescent="0.3">
      <c r="A380">
        <v>1022</v>
      </c>
      <c r="B380" t="s">
        <v>1221</v>
      </c>
      <c r="C380">
        <v>56</v>
      </c>
      <c r="D380" t="s">
        <v>76</v>
      </c>
      <c r="E380" s="3">
        <v>45824</v>
      </c>
      <c r="F380" s="3">
        <v>45443</v>
      </c>
      <c r="G380" t="s">
        <v>1222</v>
      </c>
      <c r="H380" t="s">
        <v>13</v>
      </c>
      <c r="I380" t="s">
        <v>1223</v>
      </c>
      <c r="J380" t="s">
        <v>31</v>
      </c>
      <c r="K380" t="str">
        <f t="shared" si="30"/>
        <v>Kevin Jackson</v>
      </c>
      <c r="L380" t="str">
        <f t="shared" si="31"/>
        <v>Male</v>
      </c>
      <c r="M380" t="str">
        <f t="shared" si="32"/>
        <v>David Love</v>
      </c>
      <c r="N380" s="4" t="str">
        <f t="shared" si="33"/>
        <v>Cardiology</v>
      </c>
      <c r="O380" s="6">
        <f t="shared" si="34"/>
        <v>157.36000000000001</v>
      </c>
      <c r="P380" s="4" t="str">
        <f t="shared" si="35"/>
        <v>No</v>
      </c>
      <c r="Q380" s="4" t="str">
        <f>IF(OR(A380="",C380="",L380="Missing",M380="Missing",O380="0.00",K380="Missing"),"Review","OK")</f>
        <v>OK</v>
      </c>
    </row>
    <row r="381" spans="1:17" x14ac:dyDescent="0.3">
      <c r="A381">
        <v>1088</v>
      </c>
      <c r="B381" t="s">
        <v>1224</v>
      </c>
      <c r="C381">
        <v>32</v>
      </c>
      <c r="E381" s="3" t="s">
        <v>1225</v>
      </c>
      <c r="F381" s="3">
        <v>45394</v>
      </c>
      <c r="G381" t="s">
        <v>1226</v>
      </c>
      <c r="H381" t="s">
        <v>19</v>
      </c>
      <c r="I381" t="s">
        <v>1227</v>
      </c>
      <c r="J381" t="s">
        <v>39</v>
      </c>
      <c r="K381" t="str">
        <f t="shared" si="30"/>
        <v>Mary Werner</v>
      </c>
      <c r="L381" t="str">
        <f t="shared" si="31"/>
        <v>Missing</v>
      </c>
      <c r="M381" t="str">
        <f t="shared" si="32"/>
        <v>Bonnie Walker</v>
      </c>
      <c r="N381" s="4" t="str">
        <f t="shared" si="33"/>
        <v>Orthopedics</v>
      </c>
      <c r="O381" s="6">
        <f t="shared" si="34"/>
        <v>69.13</v>
      </c>
      <c r="P381" s="4" t="str">
        <f t="shared" si="35"/>
        <v>Yes</v>
      </c>
      <c r="Q381" s="4" t="str">
        <f>IF(OR(A381="",C381="",L381="Missing",M381="Missing",O381="0.00",K381="Missing"),"Review","OK")</f>
        <v>Review</v>
      </c>
    </row>
    <row r="382" spans="1:17" x14ac:dyDescent="0.3">
      <c r="A382">
        <v>1016</v>
      </c>
      <c r="B382" t="s">
        <v>1228</v>
      </c>
      <c r="C382">
        <v>74</v>
      </c>
      <c r="D382" t="s">
        <v>23</v>
      </c>
      <c r="E382" s="3">
        <v>45997</v>
      </c>
      <c r="F382" s="3">
        <v>45392</v>
      </c>
      <c r="G382" t="s">
        <v>1229</v>
      </c>
      <c r="H382" t="s">
        <v>25</v>
      </c>
      <c r="I382" t="s">
        <v>1230</v>
      </c>
      <c r="J382" t="s">
        <v>21</v>
      </c>
      <c r="K382" t="str">
        <f t="shared" si="30"/>
        <v>Jennifer Barber</v>
      </c>
      <c r="L382" t="str">
        <f t="shared" si="31"/>
        <v>Male</v>
      </c>
      <c r="M382" t="str">
        <f t="shared" si="32"/>
        <v>Christopher Smith</v>
      </c>
      <c r="N382" s="4" t="str">
        <f t="shared" si="33"/>
        <v>Neurology</v>
      </c>
      <c r="O382" s="6">
        <f t="shared" si="34"/>
        <v>56.63</v>
      </c>
      <c r="P382" s="4" t="str">
        <f t="shared" si="35"/>
        <v>Yes</v>
      </c>
      <c r="Q382" s="4" t="str">
        <f>IF(OR(A382="",C382="",L382="Missing",M382="Missing",O382="0.00",K382="Missing"),"Review","OK")</f>
        <v>OK</v>
      </c>
    </row>
    <row r="383" spans="1:17" x14ac:dyDescent="0.3">
      <c r="A383">
        <v>1039</v>
      </c>
      <c r="B383" t="s">
        <v>1231</v>
      </c>
      <c r="C383">
        <v>55</v>
      </c>
      <c r="D383" t="s">
        <v>56</v>
      </c>
      <c r="E383" s="3">
        <v>45748</v>
      </c>
      <c r="F383" s="3" t="s">
        <v>1232</v>
      </c>
      <c r="G383" t="s">
        <v>1233</v>
      </c>
      <c r="H383" t="s">
        <v>19</v>
      </c>
      <c r="I383" t="s">
        <v>1234</v>
      </c>
      <c r="J383" t="s">
        <v>31</v>
      </c>
      <c r="K383" t="str">
        <f t="shared" si="30"/>
        <v>Emily Miller</v>
      </c>
      <c r="L383" t="str">
        <f t="shared" si="31"/>
        <v>Male</v>
      </c>
      <c r="M383" t="str">
        <f t="shared" si="32"/>
        <v>Nicole Bates</v>
      </c>
      <c r="N383" s="4" t="str">
        <f t="shared" si="33"/>
        <v>Orthopedics</v>
      </c>
      <c r="O383" s="6">
        <f t="shared" si="34"/>
        <v>432.84</v>
      </c>
      <c r="P383" s="4" t="str">
        <f t="shared" si="35"/>
        <v>No</v>
      </c>
      <c r="Q383" s="4" t="str">
        <f>IF(OR(A383="",C383="",L383="Missing",M383="Missing",O383="0.00",K383="Missing"),"Review","OK")</f>
        <v>OK</v>
      </c>
    </row>
    <row r="384" spans="1:17" x14ac:dyDescent="0.3">
      <c r="A384">
        <v>1075</v>
      </c>
      <c r="B384" t="s">
        <v>1235</v>
      </c>
      <c r="C384">
        <v>27</v>
      </c>
      <c r="D384" t="s">
        <v>41</v>
      </c>
      <c r="E384" s="3">
        <v>45754</v>
      </c>
      <c r="F384" s="3">
        <v>45384</v>
      </c>
      <c r="G384" t="s">
        <v>1236</v>
      </c>
      <c r="H384" t="s">
        <v>19</v>
      </c>
      <c r="I384" t="s">
        <v>1237</v>
      </c>
      <c r="J384" t="s">
        <v>65</v>
      </c>
      <c r="K384" t="str">
        <f t="shared" si="30"/>
        <v>Christine Lane</v>
      </c>
      <c r="L384" t="str">
        <f t="shared" si="31"/>
        <v>Female</v>
      </c>
      <c r="M384" t="str">
        <f t="shared" si="32"/>
        <v>Kimberly Long</v>
      </c>
      <c r="N384" s="4" t="str">
        <f t="shared" si="33"/>
        <v>Orthopedics</v>
      </c>
      <c r="O384" s="6">
        <f t="shared" si="34"/>
        <v>208.8</v>
      </c>
      <c r="P384" s="4" t="str">
        <f t="shared" si="35"/>
        <v>No</v>
      </c>
      <c r="Q384" s="4" t="str">
        <f>IF(OR(A384="",C384="",L384="Missing",M384="Missing",O384="0.00",K384="Missing"),"Review","OK")</f>
        <v>OK</v>
      </c>
    </row>
    <row r="385" spans="1:17" x14ac:dyDescent="0.3">
      <c r="A385">
        <v>1013</v>
      </c>
      <c r="B385" t="s">
        <v>1238</v>
      </c>
      <c r="C385">
        <v>62</v>
      </c>
      <c r="D385" t="s">
        <v>11</v>
      </c>
      <c r="E385" s="3">
        <v>46054</v>
      </c>
      <c r="F385" s="3">
        <v>45714</v>
      </c>
      <c r="G385" t="s">
        <v>1239</v>
      </c>
      <c r="H385" t="s">
        <v>25</v>
      </c>
      <c r="I385" t="s">
        <v>1240</v>
      </c>
      <c r="J385">
        <v>1</v>
      </c>
      <c r="K385" t="str">
        <f t="shared" si="30"/>
        <v>Gabriela Pope</v>
      </c>
      <c r="L385" t="str">
        <f t="shared" si="31"/>
        <v>Female</v>
      </c>
      <c r="M385" t="str">
        <f t="shared" si="32"/>
        <v>Melissa Brown</v>
      </c>
      <c r="N385" s="4" t="str">
        <f t="shared" si="33"/>
        <v>Neurology</v>
      </c>
      <c r="O385" s="6">
        <f t="shared" si="34"/>
        <v>413.25</v>
      </c>
      <c r="P385" s="4" t="str">
        <f t="shared" si="35"/>
        <v>Yes</v>
      </c>
      <c r="Q385" s="4" t="str">
        <f>IF(OR(A385="",C385="",L385="Missing",M385="Missing",O385="0.00",K385="Missing"),"Review","OK")</f>
        <v>OK</v>
      </c>
    </row>
    <row r="386" spans="1:17" x14ac:dyDescent="0.3">
      <c r="A386">
        <v>1089</v>
      </c>
      <c r="B386" t="s">
        <v>1241</v>
      </c>
      <c r="C386">
        <v>24</v>
      </c>
      <c r="D386" t="s">
        <v>76</v>
      </c>
      <c r="E386" s="3">
        <v>45916</v>
      </c>
      <c r="F386" s="3">
        <v>45673</v>
      </c>
      <c r="G386" t="s">
        <v>1242</v>
      </c>
      <c r="H386" t="s">
        <v>19</v>
      </c>
      <c r="I386" t="s">
        <v>1243</v>
      </c>
      <c r="J386" t="s">
        <v>39</v>
      </c>
      <c r="K386" t="str">
        <f t="shared" ref="K386:K449" si="36">PROPER(TRIM(CLEAN(B386)))</f>
        <v>Alexa Landry</v>
      </c>
      <c r="L386" t="str">
        <f t="shared" ref="L386:L449" si="37">_xlfn.LET(_xlpm.x,LOWER(TRIM(D386)),
IF(OR(_xlpm.x="f",_xlpm.x="female",_xlpm.x="1"),"Female",
IF(OR(_xlpm.x="m",_xlpm.x="male",_xlpm.x="0"),"Male",
IF(_xlpm.x="","Missing","Review"))))</f>
        <v>Male</v>
      </c>
      <c r="M386" t="str">
        <f t="shared" ref="M386:M449" si="38">PROPER(TRIM(CLEAN(G386)))</f>
        <v>Larry Delgado</v>
      </c>
      <c r="N386" s="4" t="str">
        <f t="shared" ref="N386:N449" si="39">PROPER(TRIM(CLEAN(H386)))</f>
        <v>Orthopedics</v>
      </c>
      <c r="O386" s="6">
        <f t="shared" ref="O386:O449" si="40">_xlfn.LET(_xlpm.x,TRIM(I386),IF(_xlpm.x="","0.00",IFERROR(VALUE(SUBSTITUTE(SUBSTITUTE(SUBSTITUTE(SUBSTITUTE(SUBSTITUTE(SUBSTITUTE(_xlpm.x,"Â£",""),"â‚¬",""),"$",""),"Rs",""),"£",""),"€","")),"0.00")))</f>
        <v>73.59</v>
      </c>
      <c r="P386" s="4" t="str">
        <f t="shared" ref="P386:P449" si="41">_xlfn.LET(_xlpm.x,LOWER(TRIM(J386)),
IF(OR(_xlpm.x="y",_xlpm.x="yes",_xlpm.x="1"),"Yes",
IF(OR(_xlpm.x="n",_xlpm.x="no",_xlpm.x="0"),"No",
IF(_xlpm.x="","Missing","Review"))))</f>
        <v>Yes</v>
      </c>
      <c r="Q386" s="4" t="str">
        <f>IF(OR(A386="",C386="",L386="Missing",M386="Missing",O386="0.00",K386="Missing"),"Review","OK")</f>
        <v>OK</v>
      </c>
    </row>
    <row r="387" spans="1:17" x14ac:dyDescent="0.3">
      <c r="A387">
        <v>1084</v>
      </c>
      <c r="B387" t="s">
        <v>1244</v>
      </c>
      <c r="C387">
        <v>34</v>
      </c>
      <c r="D387" t="s">
        <v>16</v>
      </c>
      <c r="E387" s="3">
        <v>45998</v>
      </c>
      <c r="F387" s="3">
        <v>45941</v>
      </c>
      <c r="G387" t="s">
        <v>1245</v>
      </c>
      <c r="H387" t="s">
        <v>29</v>
      </c>
      <c r="I387" t="s">
        <v>1246</v>
      </c>
      <c r="J387">
        <v>0</v>
      </c>
      <c r="K387" t="str">
        <f t="shared" si="36"/>
        <v>Erica Thompson</v>
      </c>
      <c r="L387" t="str">
        <f t="shared" si="37"/>
        <v>Female</v>
      </c>
      <c r="M387" t="str">
        <f t="shared" si="38"/>
        <v>Jill Kelley</v>
      </c>
      <c r="N387" s="4" t="str">
        <f t="shared" si="39"/>
        <v>General</v>
      </c>
      <c r="O387" s="6">
        <f t="shared" si="40"/>
        <v>466.72</v>
      </c>
      <c r="P387" s="4" t="str">
        <f t="shared" si="41"/>
        <v>No</v>
      </c>
      <c r="Q387" s="4" t="str">
        <f>IF(OR(A387="",C387="",L387="Missing",M387="Missing",O387="0.00",K387="Missing"),"Review","OK")</f>
        <v>OK</v>
      </c>
    </row>
    <row r="388" spans="1:17" x14ac:dyDescent="0.3">
      <c r="A388">
        <v>1018</v>
      </c>
      <c r="B388" t="s">
        <v>1247</v>
      </c>
      <c r="C388">
        <v>68</v>
      </c>
      <c r="D388">
        <v>1</v>
      </c>
      <c r="E388" s="3" t="s">
        <v>1248</v>
      </c>
      <c r="F388" s="3">
        <v>45813</v>
      </c>
      <c r="G388" t="s">
        <v>1249</v>
      </c>
      <c r="H388" t="s">
        <v>13</v>
      </c>
      <c r="I388" t="s">
        <v>1250</v>
      </c>
      <c r="J388" t="s">
        <v>21</v>
      </c>
      <c r="K388" t="str">
        <f t="shared" si="36"/>
        <v>James Noble</v>
      </c>
      <c r="L388" t="str">
        <f t="shared" si="37"/>
        <v>Female</v>
      </c>
      <c r="M388" t="str">
        <f t="shared" si="38"/>
        <v>Dylan George</v>
      </c>
      <c r="N388" s="4" t="str">
        <f t="shared" si="39"/>
        <v>Cardiology</v>
      </c>
      <c r="O388" s="6">
        <f t="shared" si="40"/>
        <v>213.67</v>
      </c>
      <c r="P388" s="4" t="str">
        <f t="shared" si="41"/>
        <v>Yes</v>
      </c>
      <c r="Q388" s="4" t="str">
        <f>IF(OR(A388="",C388="",L388="Missing",M388="Missing",O388="0.00",K388="Missing"),"Review","OK")</f>
        <v>OK</v>
      </c>
    </row>
    <row r="389" spans="1:17" x14ac:dyDescent="0.3">
      <c r="A389">
        <v>1026</v>
      </c>
      <c r="B389" t="s">
        <v>1251</v>
      </c>
      <c r="C389">
        <v>42</v>
      </c>
      <c r="D389">
        <v>1</v>
      </c>
      <c r="E389" s="3">
        <v>46047</v>
      </c>
      <c r="F389" s="3">
        <v>45635</v>
      </c>
      <c r="G389" t="s">
        <v>1252</v>
      </c>
      <c r="H389" t="s">
        <v>29</v>
      </c>
      <c r="I389" t="s">
        <v>1253</v>
      </c>
      <c r="J389" t="s">
        <v>65</v>
      </c>
      <c r="K389" t="str">
        <f t="shared" si="36"/>
        <v>Sandra Russo</v>
      </c>
      <c r="L389" t="str">
        <f t="shared" si="37"/>
        <v>Female</v>
      </c>
      <c r="M389" t="str">
        <f t="shared" si="38"/>
        <v>Michael Alexander</v>
      </c>
      <c r="N389" s="4" t="str">
        <f t="shared" si="39"/>
        <v>General</v>
      </c>
      <c r="O389" s="6">
        <f t="shared" si="40"/>
        <v>156.9</v>
      </c>
      <c r="P389" s="4" t="str">
        <f t="shared" si="41"/>
        <v>No</v>
      </c>
      <c r="Q389" s="4" t="str">
        <f>IF(OR(A389="",C389="",L389="Missing",M389="Missing",O389="0.00",K389="Missing"),"Review","OK")</f>
        <v>OK</v>
      </c>
    </row>
    <row r="390" spans="1:17" x14ac:dyDescent="0.3">
      <c r="A390">
        <v>1001</v>
      </c>
      <c r="B390" t="s">
        <v>1254</v>
      </c>
      <c r="C390">
        <v>90</v>
      </c>
      <c r="D390" t="s">
        <v>23</v>
      </c>
      <c r="E390" s="3">
        <v>45973</v>
      </c>
      <c r="F390" s="3">
        <v>45904</v>
      </c>
      <c r="G390" t="s">
        <v>1255</v>
      </c>
      <c r="H390" t="s">
        <v>25</v>
      </c>
      <c r="I390" t="s">
        <v>1256</v>
      </c>
      <c r="J390" t="s">
        <v>31</v>
      </c>
      <c r="K390" t="str">
        <f t="shared" si="36"/>
        <v>Robert Hampton</v>
      </c>
      <c r="L390" t="str">
        <f t="shared" si="37"/>
        <v>Male</v>
      </c>
      <c r="M390" t="str">
        <f t="shared" si="38"/>
        <v>Kevin Wilkinson</v>
      </c>
      <c r="N390" s="4" t="str">
        <f t="shared" si="39"/>
        <v>Neurology</v>
      </c>
      <c r="O390" s="6">
        <f t="shared" si="40"/>
        <v>323.18</v>
      </c>
      <c r="P390" s="4" t="str">
        <f t="shared" si="41"/>
        <v>No</v>
      </c>
      <c r="Q390" s="4" t="str">
        <f>IF(OR(A390="",C390="",L390="Missing",M390="Missing",O390="0.00",K390="Missing"),"Review","OK")</f>
        <v>OK</v>
      </c>
    </row>
    <row r="391" spans="1:17" x14ac:dyDescent="0.3">
      <c r="A391">
        <v>1004</v>
      </c>
      <c r="B391" t="s">
        <v>1257</v>
      </c>
      <c r="C391">
        <v>65</v>
      </c>
      <c r="D391" t="s">
        <v>56</v>
      </c>
      <c r="E391" s="3">
        <v>45881</v>
      </c>
      <c r="F391" s="3">
        <v>45653</v>
      </c>
      <c r="G391" t="s">
        <v>1258</v>
      </c>
      <c r="H391" t="s">
        <v>13</v>
      </c>
      <c r="I391" t="s">
        <v>1259</v>
      </c>
      <c r="J391" t="s">
        <v>21</v>
      </c>
      <c r="K391" t="str">
        <f t="shared" si="36"/>
        <v>Rachel Simmons</v>
      </c>
      <c r="L391" t="str">
        <f t="shared" si="37"/>
        <v>Male</v>
      </c>
      <c r="M391" t="str">
        <f t="shared" si="38"/>
        <v>Robert Sanchez</v>
      </c>
      <c r="N391" s="4" t="str">
        <f t="shared" si="39"/>
        <v>Cardiology</v>
      </c>
      <c r="O391" s="6">
        <f t="shared" si="40"/>
        <v>188.72</v>
      </c>
      <c r="P391" s="4" t="str">
        <f t="shared" si="41"/>
        <v>Yes</v>
      </c>
      <c r="Q391" s="4" t="str">
        <f>IF(OR(A391="",C391="",L391="Missing",M391="Missing",O391="0.00",K391="Missing"),"Review","OK")</f>
        <v>OK</v>
      </c>
    </row>
    <row r="392" spans="1:17" x14ac:dyDescent="0.3">
      <c r="A392">
        <v>1013</v>
      </c>
      <c r="B392" t="s">
        <v>1260</v>
      </c>
      <c r="C392">
        <v>89</v>
      </c>
      <c r="D392" t="s">
        <v>76</v>
      </c>
      <c r="E392" s="3">
        <v>45944</v>
      </c>
      <c r="F392" s="3">
        <v>45551</v>
      </c>
      <c r="G392" t="s">
        <v>1261</v>
      </c>
      <c r="H392" t="s">
        <v>13</v>
      </c>
      <c r="I392" t="s">
        <v>1262</v>
      </c>
      <c r="J392">
        <v>1</v>
      </c>
      <c r="K392" t="str">
        <f t="shared" si="36"/>
        <v>Eduardo Martinez</v>
      </c>
      <c r="L392" t="str">
        <f t="shared" si="37"/>
        <v>Male</v>
      </c>
      <c r="M392" t="str">
        <f t="shared" si="38"/>
        <v>Craig Kelly</v>
      </c>
      <c r="N392" s="4" t="str">
        <f t="shared" si="39"/>
        <v>Cardiology</v>
      </c>
      <c r="O392" s="6">
        <f t="shared" si="40"/>
        <v>411.32</v>
      </c>
      <c r="P392" s="4" t="str">
        <f t="shared" si="41"/>
        <v>Yes</v>
      </c>
      <c r="Q392" s="4" t="str">
        <f>IF(OR(A392="",C392="",L392="Missing",M392="Missing",O392="0.00",K392="Missing"),"Review","OK")</f>
        <v>OK</v>
      </c>
    </row>
    <row r="393" spans="1:17" x14ac:dyDescent="0.3">
      <c r="A393">
        <v>1009</v>
      </c>
      <c r="B393" t="s">
        <v>1263</v>
      </c>
      <c r="C393">
        <v>67</v>
      </c>
      <c r="D393" t="s">
        <v>11</v>
      </c>
      <c r="E393" s="3">
        <v>45695</v>
      </c>
      <c r="F393" s="3">
        <v>45447</v>
      </c>
      <c r="G393" t="s">
        <v>1264</v>
      </c>
      <c r="H393" t="s">
        <v>19</v>
      </c>
      <c r="I393" t="s">
        <v>1265</v>
      </c>
      <c r="J393">
        <v>0</v>
      </c>
      <c r="K393" t="str">
        <f t="shared" si="36"/>
        <v>Edward Taylor</v>
      </c>
      <c r="L393" t="str">
        <f t="shared" si="37"/>
        <v>Female</v>
      </c>
      <c r="M393" t="str">
        <f t="shared" si="38"/>
        <v>Yvette Johnson</v>
      </c>
      <c r="N393" s="4" t="str">
        <f t="shared" si="39"/>
        <v>Orthopedics</v>
      </c>
      <c r="O393" s="6">
        <f t="shared" si="40"/>
        <v>388.8</v>
      </c>
      <c r="P393" s="4" t="str">
        <f t="shared" si="41"/>
        <v>No</v>
      </c>
      <c r="Q393" s="4" t="str">
        <f>IF(OR(A393="",C393="",L393="Missing",M393="Missing",O393="0.00",K393="Missing"),"Review","OK")</f>
        <v>OK</v>
      </c>
    </row>
    <row r="394" spans="1:17" x14ac:dyDescent="0.3">
      <c r="A394">
        <v>1021</v>
      </c>
      <c r="B394" t="s">
        <v>1266</v>
      </c>
      <c r="C394">
        <v>68</v>
      </c>
      <c r="E394" s="3">
        <v>45843</v>
      </c>
      <c r="F394" s="3" t="s">
        <v>1267</v>
      </c>
      <c r="G394" t="s">
        <v>1268</v>
      </c>
      <c r="H394" t="s">
        <v>19</v>
      </c>
      <c r="I394" t="s">
        <v>1269</v>
      </c>
      <c r="J394" t="s">
        <v>65</v>
      </c>
      <c r="K394" t="str">
        <f t="shared" si="36"/>
        <v>Ashley Martinez</v>
      </c>
      <c r="L394" t="str">
        <f t="shared" si="37"/>
        <v>Missing</v>
      </c>
      <c r="M394" t="str">
        <f t="shared" si="38"/>
        <v>Spencer Torres</v>
      </c>
      <c r="N394" s="4" t="str">
        <f t="shared" si="39"/>
        <v>Orthopedics</v>
      </c>
      <c r="O394" s="6">
        <f t="shared" si="40"/>
        <v>296.8</v>
      </c>
      <c r="P394" s="4" t="str">
        <f t="shared" si="41"/>
        <v>No</v>
      </c>
      <c r="Q394" s="4" t="str">
        <f>IF(OR(A394="",C394="",L394="Missing",M394="Missing",O394="0.00",K394="Missing"),"Review","OK")</f>
        <v>Review</v>
      </c>
    </row>
    <row r="395" spans="1:17" x14ac:dyDescent="0.3">
      <c r="A395">
        <v>1100</v>
      </c>
      <c r="B395" t="s">
        <v>1270</v>
      </c>
      <c r="C395">
        <v>69</v>
      </c>
      <c r="D395">
        <v>1</v>
      </c>
      <c r="E395" s="3">
        <v>45879</v>
      </c>
      <c r="F395" s="3">
        <v>45796</v>
      </c>
      <c r="G395" t="s">
        <v>1271</v>
      </c>
      <c r="H395" t="s">
        <v>25</v>
      </c>
      <c r="I395" t="s">
        <v>1272</v>
      </c>
      <c r="J395" t="s">
        <v>31</v>
      </c>
      <c r="K395" t="str">
        <f t="shared" si="36"/>
        <v>Megan Edwards</v>
      </c>
      <c r="L395" t="str">
        <f t="shared" si="37"/>
        <v>Female</v>
      </c>
      <c r="M395" t="str">
        <f t="shared" si="38"/>
        <v>Eric Arellano</v>
      </c>
      <c r="N395" s="4" t="str">
        <f t="shared" si="39"/>
        <v>Neurology</v>
      </c>
      <c r="O395" s="6">
        <f t="shared" si="40"/>
        <v>439.46</v>
      </c>
      <c r="P395" s="4" t="str">
        <f t="shared" si="41"/>
        <v>No</v>
      </c>
      <c r="Q395" s="4" t="str">
        <f>IF(OR(A395="",C395="",L395="Missing",M395="Missing",O395="0.00",K395="Missing"),"Review","OK")</f>
        <v>OK</v>
      </c>
    </row>
    <row r="396" spans="1:17" x14ac:dyDescent="0.3">
      <c r="A396">
        <v>1005</v>
      </c>
      <c r="B396" t="s">
        <v>1273</v>
      </c>
      <c r="C396">
        <v>80</v>
      </c>
      <c r="D396" t="s">
        <v>23</v>
      </c>
      <c r="E396" s="3" t="s">
        <v>1274</v>
      </c>
      <c r="F396" s="3" t="s">
        <v>1275</v>
      </c>
      <c r="G396" t="s">
        <v>1276</v>
      </c>
      <c r="H396" t="s">
        <v>29</v>
      </c>
      <c r="I396" t="s">
        <v>1277</v>
      </c>
      <c r="J396" t="s">
        <v>65</v>
      </c>
      <c r="K396" t="str">
        <f t="shared" si="36"/>
        <v>Mr. Phillip Baxter</v>
      </c>
      <c r="L396" t="str">
        <f t="shared" si="37"/>
        <v>Male</v>
      </c>
      <c r="M396" t="str">
        <f t="shared" si="38"/>
        <v>Tricia Hunt</v>
      </c>
      <c r="N396" s="4" t="str">
        <f t="shared" si="39"/>
        <v>General</v>
      </c>
      <c r="O396" s="6">
        <f t="shared" si="40"/>
        <v>320.72000000000003</v>
      </c>
      <c r="P396" s="4" t="str">
        <f t="shared" si="41"/>
        <v>No</v>
      </c>
      <c r="Q396" s="4" t="str">
        <f>IF(OR(A396="",C396="",L396="Missing",M396="Missing",O396="0.00",K396="Missing"),"Review","OK")</f>
        <v>OK</v>
      </c>
    </row>
    <row r="397" spans="1:17" x14ac:dyDescent="0.3">
      <c r="A397">
        <v>1071</v>
      </c>
      <c r="B397" t="s">
        <v>1278</v>
      </c>
      <c r="C397">
        <v>73</v>
      </c>
      <c r="D397">
        <v>1</v>
      </c>
      <c r="E397" s="3">
        <v>45893</v>
      </c>
      <c r="F397" s="3">
        <v>45842</v>
      </c>
      <c r="G397" t="s">
        <v>1279</v>
      </c>
      <c r="H397" t="s">
        <v>25</v>
      </c>
      <c r="I397" t="s">
        <v>1280</v>
      </c>
      <c r="J397" t="s">
        <v>31</v>
      </c>
      <c r="K397" t="str">
        <f t="shared" si="36"/>
        <v>Diana Schroeder</v>
      </c>
      <c r="L397" t="str">
        <f t="shared" si="37"/>
        <v>Female</v>
      </c>
      <c r="M397" t="str">
        <f t="shared" si="38"/>
        <v>Alexandra Lee</v>
      </c>
      <c r="N397" s="4" t="str">
        <f t="shared" si="39"/>
        <v>Neurology</v>
      </c>
      <c r="O397" s="6">
        <f t="shared" si="40"/>
        <v>262.83999999999997</v>
      </c>
      <c r="P397" s="4" t="str">
        <f t="shared" si="41"/>
        <v>No</v>
      </c>
      <c r="Q397" s="4" t="str">
        <f>IF(OR(A397="",C397="",L397="Missing",M397="Missing",O397="0.00",K397="Missing"),"Review","OK")</f>
        <v>OK</v>
      </c>
    </row>
    <row r="398" spans="1:17" x14ac:dyDescent="0.3">
      <c r="A398">
        <v>1070</v>
      </c>
      <c r="B398" t="s">
        <v>258</v>
      </c>
      <c r="C398">
        <v>78</v>
      </c>
      <c r="D398" t="s">
        <v>23</v>
      </c>
      <c r="E398" s="3" t="s">
        <v>1281</v>
      </c>
      <c r="F398" s="3">
        <v>45621</v>
      </c>
      <c r="G398" t="s">
        <v>1282</v>
      </c>
      <c r="H398" t="s">
        <v>13</v>
      </c>
      <c r="I398" t="s">
        <v>1283</v>
      </c>
      <c r="J398">
        <v>0</v>
      </c>
      <c r="K398" t="str">
        <f t="shared" si="36"/>
        <v>Katelyn Miller</v>
      </c>
      <c r="L398" t="str">
        <f t="shared" si="37"/>
        <v>Male</v>
      </c>
      <c r="M398" t="str">
        <f t="shared" si="38"/>
        <v>Justin Chen</v>
      </c>
      <c r="N398" s="4" t="str">
        <f t="shared" si="39"/>
        <v>Cardiology</v>
      </c>
      <c r="O398" s="6">
        <f t="shared" si="40"/>
        <v>274.94</v>
      </c>
      <c r="P398" s="4" t="str">
        <f t="shared" si="41"/>
        <v>No</v>
      </c>
      <c r="Q398" s="4" t="str">
        <f>IF(OR(A398="",C398="",L398="Missing",M398="Missing",O398="0.00",K398="Missing"),"Review","OK")</f>
        <v>OK</v>
      </c>
    </row>
    <row r="399" spans="1:17" x14ac:dyDescent="0.3">
      <c r="A399">
        <v>1020</v>
      </c>
      <c r="B399" t="s">
        <v>1284</v>
      </c>
      <c r="C399">
        <v>65</v>
      </c>
      <c r="D399" t="s">
        <v>41</v>
      </c>
      <c r="E399" s="3" t="s">
        <v>1285</v>
      </c>
      <c r="F399" s="3">
        <v>46026</v>
      </c>
      <c r="G399" t="s">
        <v>1286</v>
      </c>
      <c r="H399" t="s">
        <v>13</v>
      </c>
      <c r="I399" t="s">
        <v>1287</v>
      </c>
      <c r="J399" t="s">
        <v>31</v>
      </c>
      <c r="K399" t="str">
        <f t="shared" si="36"/>
        <v>Brian Garrett</v>
      </c>
      <c r="L399" t="str">
        <f t="shared" si="37"/>
        <v>Female</v>
      </c>
      <c r="M399" t="str">
        <f t="shared" si="38"/>
        <v>Tamara Williams</v>
      </c>
      <c r="N399" s="4" t="str">
        <f t="shared" si="39"/>
        <v>Cardiology</v>
      </c>
      <c r="O399" s="6">
        <f t="shared" si="40"/>
        <v>182.77</v>
      </c>
      <c r="P399" s="4" t="str">
        <f t="shared" si="41"/>
        <v>No</v>
      </c>
      <c r="Q399" s="4" t="str">
        <f>IF(OR(A399="",C399="",L399="Missing",M399="Missing",O399="0.00",K399="Missing"),"Review","OK")</f>
        <v>OK</v>
      </c>
    </row>
    <row r="400" spans="1:17" x14ac:dyDescent="0.3">
      <c r="A400">
        <v>1074</v>
      </c>
      <c r="B400" t="s">
        <v>1288</v>
      </c>
      <c r="C400">
        <v>87</v>
      </c>
      <c r="D400" t="s">
        <v>23</v>
      </c>
      <c r="E400" s="3">
        <v>45961</v>
      </c>
      <c r="F400" s="3" t="s">
        <v>1289</v>
      </c>
      <c r="G400" t="s">
        <v>1290</v>
      </c>
      <c r="H400" t="s">
        <v>13</v>
      </c>
      <c r="I400" t="s">
        <v>1291</v>
      </c>
      <c r="J400" t="s">
        <v>39</v>
      </c>
      <c r="K400" t="str">
        <f t="shared" si="36"/>
        <v>Aaron Clay</v>
      </c>
      <c r="L400" t="str">
        <f t="shared" si="37"/>
        <v>Male</v>
      </c>
      <c r="M400" t="str">
        <f t="shared" si="38"/>
        <v>Timothy Barker</v>
      </c>
      <c r="N400" s="4" t="str">
        <f t="shared" si="39"/>
        <v>Cardiology</v>
      </c>
      <c r="O400" s="6">
        <f t="shared" si="40"/>
        <v>312.88</v>
      </c>
      <c r="P400" s="4" t="str">
        <f t="shared" si="41"/>
        <v>Yes</v>
      </c>
      <c r="Q400" s="4" t="str">
        <f>IF(OR(A400="",C400="",L400="Missing",M400="Missing",O400="0.00",K400="Missing"),"Review","OK")</f>
        <v>OK</v>
      </c>
    </row>
    <row r="401" spans="1:17" x14ac:dyDescent="0.3">
      <c r="A401">
        <v>1001</v>
      </c>
      <c r="B401" t="s">
        <v>1292</v>
      </c>
      <c r="C401">
        <v>78</v>
      </c>
      <c r="D401" t="s">
        <v>56</v>
      </c>
      <c r="E401" s="3">
        <v>45887</v>
      </c>
      <c r="F401" s="3" t="s">
        <v>1293</v>
      </c>
      <c r="G401" t="s">
        <v>1294</v>
      </c>
      <c r="H401" t="s">
        <v>25</v>
      </c>
      <c r="I401" t="s">
        <v>1295</v>
      </c>
      <c r="J401">
        <v>0</v>
      </c>
      <c r="K401" t="str">
        <f t="shared" si="36"/>
        <v>Brian Bolton</v>
      </c>
      <c r="L401" t="str">
        <f t="shared" si="37"/>
        <v>Male</v>
      </c>
      <c r="M401" t="str">
        <f t="shared" si="38"/>
        <v>Natalie Patrick</v>
      </c>
      <c r="N401" s="4" t="str">
        <f t="shared" si="39"/>
        <v>Neurology</v>
      </c>
      <c r="O401" s="6">
        <f t="shared" si="40"/>
        <v>163.58000000000001</v>
      </c>
      <c r="P401" s="4" t="str">
        <f t="shared" si="41"/>
        <v>No</v>
      </c>
      <c r="Q401" s="4" t="str">
        <f>IF(OR(A401="",C401="",L401="Missing",M401="Missing",O401="0.00",K401="Missing"),"Review","OK")</f>
        <v>OK</v>
      </c>
    </row>
    <row r="402" spans="1:17" x14ac:dyDescent="0.3">
      <c r="A402">
        <v>1067</v>
      </c>
      <c r="B402" t="s">
        <v>1296</v>
      </c>
      <c r="C402">
        <v>66</v>
      </c>
      <c r="E402" s="3">
        <v>45800</v>
      </c>
      <c r="F402" s="3" t="s">
        <v>1122</v>
      </c>
      <c r="G402" t="s">
        <v>1297</v>
      </c>
      <c r="H402" t="s">
        <v>13</v>
      </c>
      <c r="I402" t="s">
        <v>1298</v>
      </c>
      <c r="J402" t="s">
        <v>21</v>
      </c>
      <c r="K402" t="str">
        <f t="shared" si="36"/>
        <v>Karla Bush</v>
      </c>
      <c r="L402" t="str">
        <f t="shared" si="37"/>
        <v>Missing</v>
      </c>
      <c r="M402" t="str">
        <f t="shared" si="38"/>
        <v>Victor Hernandez</v>
      </c>
      <c r="N402" s="4" t="str">
        <f t="shared" si="39"/>
        <v>Cardiology</v>
      </c>
      <c r="O402" s="6">
        <f t="shared" si="40"/>
        <v>135.85</v>
      </c>
      <c r="P402" s="4" t="str">
        <f t="shared" si="41"/>
        <v>Yes</v>
      </c>
      <c r="Q402" s="4" t="str">
        <f>IF(OR(A402="",C402="",L402="Missing",M402="Missing",O402="0.00",K402="Missing"),"Review","OK")</f>
        <v>Review</v>
      </c>
    </row>
    <row r="403" spans="1:17" x14ac:dyDescent="0.3">
      <c r="A403">
        <v>1074</v>
      </c>
      <c r="B403" t="s">
        <v>1299</v>
      </c>
      <c r="C403">
        <v>30</v>
      </c>
      <c r="D403" t="s">
        <v>11</v>
      </c>
      <c r="E403" s="3">
        <v>45994</v>
      </c>
      <c r="F403" s="3" t="s">
        <v>1300</v>
      </c>
      <c r="G403" t="s">
        <v>1301</v>
      </c>
      <c r="H403" t="s">
        <v>19</v>
      </c>
      <c r="I403" t="s">
        <v>1302</v>
      </c>
      <c r="J403" t="s">
        <v>39</v>
      </c>
      <c r="K403" t="str">
        <f t="shared" si="36"/>
        <v>Michelle Edwards</v>
      </c>
      <c r="L403" t="str">
        <f t="shared" si="37"/>
        <v>Female</v>
      </c>
      <c r="M403" t="str">
        <f t="shared" si="38"/>
        <v>Charles Harvey</v>
      </c>
      <c r="N403" s="4" t="str">
        <f t="shared" si="39"/>
        <v>Orthopedics</v>
      </c>
      <c r="O403" s="6">
        <f t="shared" si="40"/>
        <v>242.2</v>
      </c>
      <c r="P403" s="4" t="str">
        <f t="shared" si="41"/>
        <v>Yes</v>
      </c>
      <c r="Q403" s="4" t="str">
        <f>IF(OR(A403="",C403="",L403="Missing",M403="Missing",O403="0.00",K403="Missing"),"Review","OK")</f>
        <v>OK</v>
      </c>
    </row>
    <row r="404" spans="1:17" x14ac:dyDescent="0.3">
      <c r="A404">
        <v>1053</v>
      </c>
      <c r="B404" t="s">
        <v>1303</v>
      </c>
      <c r="C404">
        <v>76</v>
      </c>
      <c r="D404" t="s">
        <v>11</v>
      </c>
      <c r="E404" s="3">
        <v>45989</v>
      </c>
      <c r="F404" s="3">
        <v>45767</v>
      </c>
      <c r="G404" t="s">
        <v>1304</v>
      </c>
      <c r="H404" t="s">
        <v>29</v>
      </c>
      <c r="I404" t="s">
        <v>1305</v>
      </c>
      <c r="J404" t="s">
        <v>39</v>
      </c>
      <c r="K404" t="str">
        <f t="shared" si="36"/>
        <v>Jack Sutton</v>
      </c>
      <c r="L404" t="str">
        <f t="shared" si="37"/>
        <v>Female</v>
      </c>
      <c r="M404" t="str">
        <f t="shared" si="38"/>
        <v>Paul Giles</v>
      </c>
      <c r="N404" s="4" t="str">
        <f t="shared" si="39"/>
        <v>General</v>
      </c>
      <c r="O404" s="6">
        <f t="shared" si="40"/>
        <v>374.72</v>
      </c>
      <c r="P404" s="4" t="str">
        <f t="shared" si="41"/>
        <v>Yes</v>
      </c>
      <c r="Q404" s="4" t="str">
        <f>IF(OR(A404="",C404="",L404="Missing",M404="Missing",O404="0.00",K404="Missing"),"Review","OK")</f>
        <v>OK</v>
      </c>
    </row>
    <row r="405" spans="1:17" x14ac:dyDescent="0.3">
      <c r="A405">
        <v>1020</v>
      </c>
      <c r="B405" t="s">
        <v>1306</v>
      </c>
      <c r="C405">
        <v>69</v>
      </c>
      <c r="D405" t="s">
        <v>41</v>
      </c>
      <c r="E405" s="3">
        <v>45756</v>
      </c>
      <c r="F405" s="3">
        <v>45704</v>
      </c>
      <c r="G405" t="s">
        <v>1307</v>
      </c>
      <c r="H405" t="s">
        <v>29</v>
      </c>
      <c r="I405" t="s">
        <v>1308</v>
      </c>
      <c r="J405" t="s">
        <v>31</v>
      </c>
      <c r="K405" t="str">
        <f t="shared" si="36"/>
        <v>Joseph Hart</v>
      </c>
      <c r="L405" t="str">
        <f t="shared" si="37"/>
        <v>Female</v>
      </c>
      <c r="M405" t="str">
        <f t="shared" si="38"/>
        <v>Ralph Fernandez</v>
      </c>
      <c r="N405" s="4" t="str">
        <f t="shared" si="39"/>
        <v>General</v>
      </c>
      <c r="O405" s="6">
        <f t="shared" si="40"/>
        <v>326.58</v>
      </c>
      <c r="P405" s="4" t="str">
        <f t="shared" si="41"/>
        <v>No</v>
      </c>
      <c r="Q405" s="4" t="str">
        <f>IF(OR(A405="",C405="",L405="Missing",M405="Missing",O405="0.00",K405="Missing"),"Review","OK")</f>
        <v>OK</v>
      </c>
    </row>
    <row r="406" spans="1:17" x14ac:dyDescent="0.3">
      <c r="A406">
        <v>1013</v>
      </c>
      <c r="B406" t="s">
        <v>1309</v>
      </c>
      <c r="C406">
        <v>27</v>
      </c>
      <c r="D406" t="s">
        <v>11</v>
      </c>
      <c r="E406" s="3">
        <v>46027</v>
      </c>
      <c r="F406" s="3">
        <v>45638</v>
      </c>
      <c r="G406" t="s">
        <v>1310</v>
      </c>
      <c r="H406" t="s">
        <v>25</v>
      </c>
      <c r="I406" t="s">
        <v>1311</v>
      </c>
      <c r="J406" t="s">
        <v>21</v>
      </c>
      <c r="K406" t="str">
        <f t="shared" si="36"/>
        <v>Rachel Carlson</v>
      </c>
      <c r="L406" t="str">
        <f t="shared" si="37"/>
        <v>Female</v>
      </c>
      <c r="M406" t="str">
        <f t="shared" si="38"/>
        <v>Paul Martinez</v>
      </c>
      <c r="N406" s="4" t="str">
        <f t="shared" si="39"/>
        <v>Neurology</v>
      </c>
      <c r="O406" s="6">
        <f t="shared" si="40"/>
        <v>379.39</v>
      </c>
      <c r="P406" s="4" t="str">
        <f t="shared" si="41"/>
        <v>Yes</v>
      </c>
      <c r="Q406" s="4" t="str">
        <f>IF(OR(A406="",C406="",L406="Missing",M406="Missing",O406="0.00",K406="Missing"),"Review","OK")</f>
        <v>OK</v>
      </c>
    </row>
    <row r="407" spans="1:17" x14ac:dyDescent="0.3">
      <c r="A407">
        <v>1027</v>
      </c>
      <c r="B407" t="s">
        <v>1312</v>
      </c>
      <c r="C407">
        <v>75</v>
      </c>
      <c r="D407" t="s">
        <v>76</v>
      </c>
      <c r="E407" s="3">
        <v>45761</v>
      </c>
      <c r="F407" s="3">
        <v>45463</v>
      </c>
      <c r="G407" t="s">
        <v>1313</v>
      </c>
      <c r="H407" t="s">
        <v>19</v>
      </c>
      <c r="I407" t="s">
        <v>1314</v>
      </c>
      <c r="J407">
        <v>0</v>
      </c>
      <c r="K407" t="str">
        <f t="shared" si="36"/>
        <v>Miss Stacey Weaver</v>
      </c>
      <c r="L407" t="str">
        <f t="shared" si="37"/>
        <v>Male</v>
      </c>
      <c r="M407" t="str">
        <f t="shared" si="38"/>
        <v>Rachel Wilson</v>
      </c>
      <c r="N407" s="4" t="str">
        <f t="shared" si="39"/>
        <v>Orthopedics</v>
      </c>
      <c r="O407" s="6">
        <f t="shared" si="40"/>
        <v>442.41</v>
      </c>
      <c r="P407" s="4" t="str">
        <f t="shared" si="41"/>
        <v>No</v>
      </c>
      <c r="Q407" s="4" t="str">
        <f>IF(OR(A407="",C407="",L407="Missing",M407="Missing",O407="0.00",K407="Missing"),"Review","OK")</f>
        <v>OK</v>
      </c>
    </row>
    <row r="408" spans="1:17" x14ac:dyDescent="0.3">
      <c r="A408">
        <v>1070</v>
      </c>
      <c r="B408" t="s">
        <v>1315</v>
      </c>
      <c r="C408">
        <v>58</v>
      </c>
      <c r="D408" t="s">
        <v>16</v>
      </c>
      <c r="E408" s="3">
        <v>45992</v>
      </c>
      <c r="F408" s="3">
        <v>45655</v>
      </c>
      <c r="G408" t="s">
        <v>1316</v>
      </c>
      <c r="H408" t="s">
        <v>29</v>
      </c>
      <c r="I408" t="s">
        <v>1317</v>
      </c>
      <c r="J408">
        <v>0</v>
      </c>
      <c r="K408" t="str">
        <f t="shared" si="36"/>
        <v>Steven Giles</v>
      </c>
      <c r="L408" t="str">
        <f t="shared" si="37"/>
        <v>Female</v>
      </c>
      <c r="M408" t="str">
        <f t="shared" si="38"/>
        <v>Kevin Vaughan</v>
      </c>
      <c r="N408" s="4" t="str">
        <f t="shared" si="39"/>
        <v>General</v>
      </c>
      <c r="O408" s="6">
        <f t="shared" si="40"/>
        <v>358.98</v>
      </c>
      <c r="P408" s="4" t="str">
        <f t="shared" si="41"/>
        <v>No</v>
      </c>
      <c r="Q408" s="4" t="str">
        <f>IF(OR(A408="",C408="",L408="Missing",M408="Missing",O408="0.00",K408="Missing"),"Review","OK")</f>
        <v>OK</v>
      </c>
    </row>
    <row r="409" spans="1:17" x14ac:dyDescent="0.3">
      <c r="A409">
        <v>1050</v>
      </c>
      <c r="B409" t="s">
        <v>1318</v>
      </c>
      <c r="C409">
        <v>61</v>
      </c>
      <c r="D409" t="s">
        <v>41</v>
      </c>
      <c r="E409" s="3">
        <v>45827</v>
      </c>
      <c r="F409" s="3">
        <v>45536</v>
      </c>
      <c r="G409" t="s">
        <v>1319</v>
      </c>
      <c r="H409" t="s">
        <v>25</v>
      </c>
      <c r="I409" t="s">
        <v>1320</v>
      </c>
      <c r="J409">
        <v>0</v>
      </c>
      <c r="K409" t="str">
        <f t="shared" si="36"/>
        <v>Trevor Taylor</v>
      </c>
      <c r="L409" t="str">
        <f t="shared" si="37"/>
        <v>Female</v>
      </c>
      <c r="M409" t="str">
        <f t="shared" si="38"/>
        <v>William Schneider</v>
      </c>
      <c r="N409" s="4" t="str">
        <f t="shared" si="39"/>
        <v>Neurology</v>
      </c>
      <c r="O409" s="6">
        <f t="shared" si="40"/>
        <v>235.74</v>
      </c>
      <c r="P409" s="4" t="str">
        <f t="shared" si="41"/>
        <v>No</v>
      </c>
      <c r="Q409" s="4" t="str">
        <f>IF(OR(A409="",C409="",L409="Missing",M409="Missing",O409="0.00",K409="Missing"),"Review","OK")</f>
        <v>OK</v>
      </c>
    </row>
    <row r="410" spans="1:17" x14ac:dyDescent="0.3">
      <c r="A410">
        <v>1010</v>
      </c>
      <c r="B410" t="s">
        <v>1321</v>
      </c>
      <c r="C410">
        <v>68</v>
      </c>
      <c r="D410" t="s">
        <v>41</v>
      </c>
      <c r="E410" s="3">
        <v>45842</v>
      </c>
      <c r="F410" s="3">
        <v>45596</v>
      </c>
      <c r="G410" t="s">
        <v>1322</v>
      </c>
      <c r="H410" t="s">
        <v>29</v>
      </c>
      <c r="I410" t="s">
        <v>1323</v>
      </c>
      <c r="J410">
        <v>1</v>
      </c>
      <c r="K410" t="str">
        <f t="shared" si="36"/>
        <v>Erica Robbins</v>
      </c>
      <c r="L410" t="str">
        <f t="shared" si="37"/>
        <v>Female</v>
      </c>
      <c r="M410" t="str">
        <f t="shared" si="38"/>
        <v>Matthew Carlson</v>
      </c>
      <c r="N410" s="4" t="str">
        <f t="shared" si="39"/>
        <v>General</v>
      </c>
      <c r="O410" s="6">
        <f t="shared" si="40"/>
        <v>400.6</v>
      </c>
      <c r="P410" s="4" t="str">
        <f t="shared" si="41"/>
        <v>Yes</v>
      </c>
      <c r="Q410" s="4" t="str">
        <f>IF(OR(A410="",C410="",L410="Missing",M410="Missing",O410="0.00",K410="Missing"),"Review","OK")</f>
        <v>OK</v>
      </c>
    </row>
    <row r="411" spans="1:17" x14ac:dyDescent="0.3">
      <c r="A411">
        <v>1017</v>
      </c>
      <c r="B411" t="s">
        <v>1324</v>
      </c>
      <c r="C411">
        <v>43</v>
      </c>
      <c r="D411">
        <v>0</v>
      </c>
      <c r="E411" s="3">
        <v>45795</v>
      </c>
      <c r="F411" s="3" t="s">
        <v>1325</v>
      </c>
      <c r="G411" t="s">
        <v>1326</v>
      </c>
      <c r="H411" t="s">
        <v>19</v>
      </c>
      <c r="I411" t="s">
        <v>1327</v>
      </c>
      <c r="J411" t="s">
        <v>31</v>
      </c>
      <c r="K411" t="str">
        <f t="shared" si="36"/>
        <v>Alexander Rios</v>
      </c>
      <c r="L411" t="str">
        <f t="shared" si="37"/>
        <v>Male</v>
      </c>
      <c r="M411" t="str">
        <f t="shared" si="38"/>
        <v>Bryan Parker</v>
      </c>
      <c r="N411" s="4" t="str">
        <f t="shared" si="39"/>
        <v>Orthopedics</v>
      </c>
      <c r="O411" s="6">
        <f t="shared" si="40"/>
        <v>305.19</v>
      </c>
      <c r="P411" s="4" t="str">
        <f t="shared" si="41"/>
        <v>No</v>
      </c>
      <c r="Q411" s="4" t="str">
        <f>IF(OR(A411="",C411="",L411="Missing",M411="Missing",O411="0.00",K411="Missing"),"Review","OK")</f>
        <v>OK</v>
      </c>
    </row>
    <row r="412" spans="1:17" x14ac:dyDescent="0.3">
      <c r="A412">
        <v>1085</v>
      </c>
      <c r="B412" t="s">
        <v>1328</v>
      </c>
      <c r="C412">
        <v>62</v>
      </c>
      <c r="D412">
        <v>0</v>
      </c>
      <c r="E412" s="3">
        <v>45968</v>
      </c>
      <c r="F412" s="3">
        <v>45515</v>
      </c>
      <c r="G412" t="s">
        <v>1329</v>
      </c>
      <c r="H412" t="s">
        <v>13</v>
      </c>
      <c r="I412" t="s">
        <v>1330</v>
      </c>
      <c r="J412" t="s">
        <v>65</v>
      </c>
      <c r="K412" t="str">
        <f t="shared" si="36"/>
        <v>Jennifer Reese</v>
      </c>
      <c r="L412" t="str">
        <f t="shared" si="37"/>
        <v>Male</v>
      </c>
      <c r="M412" t="str">
        <f t="shared" si="38"/>
        <v>James Aguilar</v>
      </c>
      <c r="N412" s="4" t="str">
        <f t="shared" si="39"/>
        <v>Cardiology</v>
      </c>
      <c r="O412" s="6">
        <f t="shared" si="40"/>
        <v>357.15</v>
      </c>
      <c r="P412" s="4" t="str">
        <f t="shared" si="41"/>
        <v>No</v>
      </c>
      <c r="Q412" s="4" t="str">
        <f>IF(OR(A412="",C412="",L412="Missing",M412="Missing",O412="0.00",K412="Missing"),"Review","OK")</f>
        <v>OK</v>
      </c>
    </row>
    <row r="413" spans="1:17" x14ac:dyDescent="0.3">
      <c r="A413">
        <v>1023</v>
      </c>
      <c r="B413" t="s">
        <v>1331</v>
      </c>
      <c r="C413">
        <v>45</v>
      </c>
      <c r="D413" t="s">
        <v>56</v>
      </c>
      <c r="E413" s="3" t="s">
        <v>1332</v>
      </c>
      <c r="F413" s="3">
        <v>45729</v>
      </c>
      <c r="G413" t="s">
        <v>1333</v>
      </c>
      <c r="H413" t="s">
        <v>13</v>
      </c>
      <c r="I413" t="s">
        <v>1334</v>
      </c>
      <c r="J413" t="s">
        <v>39</v>
      </c>
      <c r="K413" t="str">
        <f t="shared" si="36"/>
        <v>Daniel Valenzuela</v>
      </c>
      <c r="L413" t="str">
        <f t="shared" si="37"/>
        <v>Male</v>
      </c>
      <c r="M413" t="str">
        <f t="shared" si="38"/>
        <v>Karen Brewer</v>
      </c>
      <c r="N413" s="4" t="str">
        <f t="shared" si="39"/>
        <v>Cardiology</v>
      </c>
      <c r="O413" s="6">
        <f t="shared" si="40"/>
        <v>245.21</v>
      </c>
      <c r="P413" s="4" t="str">
        <f t="shared" si="41"/>
        <v>Yes</v>
      </c>
      <c r="Q413" s="4" t="str">
        <f>IF(OR(A413="",C413="",L413="Missing",M413="Missing",O413="0.00",K413="Missing"),"Review","OK")</f>
        <v>OK</v>
      </c>
    </row>
    <row r="414" spans="1:17" x14ac:dyDescent="0.3">
      <c r="A414">
        <v>1066</v>
      </c>
      <c r="B414" t="s">
        <v>1335</v>
      </c>
      <c r="C414">
        <v>85</v>
      </c>
      <c r="D414" t="s">
        <v>11</v>
      </c>
      <c r="E414" s="3">
        <v>46000</v>
      </c>
      <c r="F414" s="3">
        <v>45687</v>
      </c>
      <c r="G414" t="s">
        <v>1336</v>
      </c>
      <c r="H414" t="s">
        <v>29</v>
      </c>
      <c r="I414" t="s">
        <v>1337</v>
      </c>
      <c r="J414" t="s">
        <v>21</v>
      </c>
      <c r="K414" t="str">
        <f t="shared" si="36"/>
        <v>Alexander Jones</v>
      </c>
      <c r="L414" t="str">
        <f t="shared" si="37"/>
        <v>Female</v>
      </c>
      <c r="M414" t="str">
        <f t="shared" si="38"/>
        <v>Mary Ward</v>
      </c>
      <c r="N414" s="4" t="str">
        <f t="shared" si="39"/>
        <v>General</v>
      </c>
      <c r="O414" s="6">
        <f t="shared" si="40"/>
        <v>498.26</v>
      </c>
      <c r="P414" s="4" t="str">
        <f t="shared" si="41"/>
        <v>Yes</v>
      </c>
      <c r="Q414" s="4" t="str">
        <f>IF(OR(A414="",C414="",L414="Missing",M414="Missing",O414="0.00",K414="Missing"),"Review","OK")</f>
        <v>OK</v>
      </c>
    </row>
    <row r="415" spans="1:17" x14ac:dyDescent="0.3">
      <c r="A415">
        <v>1038</v>
      </c>
      <c r="B415" t="s">
        <v>1338</v>
      </c>
      <c r="C415">
        <v>72</v>
      </c>
      <c r="D415" t="s">
        <v>41</v>
      </c>
      <c r="E415" s="3">
        <v>45896</v>
      </c>
      <c r="F415" s="3">
        <v>45633</v>
      </c>
      <c r="G415" t="s">
        <v>1339</v>
      </c>
      <c r="H415" t="s">
        <v>25</v>
      </c>
      <c r="I415" t="s">
        <v>1340</v>
      </c>
      <c r="J415" t="s">
        <v>39</v>
      </c>
      <c r="K415" t="str">
        <f t="shared" si="36"/>
        <v>Robert Myers Dds</v>
      </c>
      <c r="L415" t="str">
        <f t="shared" si="37"/>
        <v>Female</v>
      </c>
      <c r="M415" t="str">
        <f t="shared" si="38"/>
        <v>Luis Smith</v>
      </c>
      <c r="N415" s="4" t="str">
        <f t="shared" si="39"/>
        <v>Neurology</v>
      </c>
      <c r="O415" s="6">
        <f t="shared" si="40"/>
        <v>499.72</v>
      </c>
      <c r="P415" s="4" t="str">
        <f t="shared" si="41"/>
        <v>Yes</v>
      </c>
      <c r="Q415" s="4" t="str">
        <f>IF(OR(A415="",C415="",L415="Missing",M415="Missing",O415="0.00",K415="Missing"),"Review","OK")</f>
        <v>OK</v>
      </c>
    </row>
    <row r="416" spans="1:17" x14ac:dyDescent="0.3">
      <c r="A416">
        <v>1048</v>
      </c>
      <c r="B416" t="s">
        <v>1341</v>
      </c>
      <c r="C416">
        <v>63</v>
      </c>
      <c r="D416" t="s">
        <v>41</v>
      </c>
      <c r="E416" s="3">
        <v>45945</v>
      </c>
      <c r="F416" s="3">
        <v>45690</v>
      </c>
      <c r="G416" t="s">
        <v>1342</v>
      </c>
      <c r="H416" t="s">
        <v>13</v>
      </c>
      <c r="I416" t="s">
        <v>1343</v>
      </c>
      <c r="J416" t="s">
        <v>21</v>
      </c>
      <c r="K416" t="str">
        <f t="shared" si="36"/>
        <v>Jennifer Sims</v>
      </c>
      <c r="L416" t="str">
        <f t="shared" si="37"/>
        <v>Female</v>
      </c>
      <c r="M416" t="str">
        <f t="shared" si="38"/>
        <v>Janet Coffey</v>
      </c>
      <c r="N416" s="4" t="str">
        <f t="shared" si="39"/>
        <v>Cardiology</v>
      </c>
      <c r="O416" s="6">
        <f t="shared" si="40"/>
        <v>315.70999999999998</v>
      </c>
      <c r="P416" s="4" t="str">
        <f t="shared" si="41"/>
        <v>Yes</v>
      </c>
      <c r="Q416" s="4" t="str">
        <f>IF(OR(A416="",C416="",L416="Missing",M416="Missing",O416="0.00",K416="Missing"),"Review","OK")</f>
        <v>OK</v>
      </c>
    </row>
    <row r="417" spans="1:17" x14ac:dyDescent="0.3">
      <c r="A417">
        <v>1082</v>
      </c>
      <c r="B417" t="s">
        <v>1344</v>
      </c>
      <c r="C417">
        <v>67</v>
      </c>
      <c r="D417">
        <v>0</v>
      </c>
      <c r="E417" s="3">
        <v>45857</v>
      </c>
      <c r="F417" s="3">
        <v>45394</v>
      </c>
      <c r="G417" t="s">
        <v>1345</v>
      </c>
      <c r="H417" t="s">
        <v>29</v>
      </c>
      <c r="I417" t="s">
        <v>1346</v>
      </c>
      <c r="J417" t="s">
        <v>39</v>
      </c>
      <c r="K417" t="str">
        <f t="shared" si="36"/>
        <v>Jenna Williams</v>
      </c>
      <c r="L417" t="str">
        <f t="shared" si="37"/>
        <v>Male</v>
      </c>
      <c r="M417" t="str">
        <f t="shared" si="38"/>
        <v>Ryan Mitchell</v>
      </c>
      <c r="N417" s="4" t="str">
        <f t="shared" si="39"/>
        <v>General</v>
      </c>
      <c r="O417" s="6">
        <f t="shared" si="40"/>
        <v>149.33000000000001</v>
      </c>
      <c r="P417" s="4" t="str">
        <f t="shared" si="41"/>
        <v>Yes</v>
      </c>
      <c r="Q417" s="4" t="str">
        <f>IF(OR(A417="",C417="",L417="Missing",M417="Missing",O417="0.00",K417="Missing"),"Review","OK")</f>
        <v>OK</v>
      </c>
    </row>
    <row r="418" spans="1:17" x14ac:dyDescent="0.3">
      <c r="A418">
        <v>1085</v>
      </c>
      <c r="B418" t="s">
        <v>1347</v>
      </c>
      <c r="C418">
        <v>69</v>
      </c>
      <c r="D418">
        <v>1</v>
      </c>
      <c r="E418" s="3" t="s">
        <v>52</v>
      </c>
      <c r="F418" s="3">
        <v>45462</v>
      </c>
      <c r="G418" t="s">
        <v>1348</v>
      </c>
      <c r="H418" t="s">
        <v>29</v>
      </c>
      <c r="I418" t="s">
        <v>1349</v>
      </c>
      <c r="J418" t="s">
        <v>65</v>
      </c>
      <c r="K418" t="str">
        <f t="shared" si="36"/>
        <v>Jamie Nixon</v>
      </c>
      <c r="L418" t="str">
        <f t="shared" si="37"/>
        <v>Female</v>
      </c>
      <c r="M418" t="str">
        <f t="shared" si="38"/>
        <v>Scott Allen</v>
      </c>
      <c r="N418" s="4" t="str">
        <f t="shared" si="39"/>
        <v>General</v>
      </c>
      <c r="O418" s="6">
        <f t="shared" si="40"/>
        <v>412.82</v>
      </c>
      <c r="P418" s="4" t="str">
        <f t="shared" si="41"/>
        <v>No</v>
      </c>
      <c r="Q418" s="4" t="str">
        <f>IF(OR(A418="",C418="",L418="Missing",M418="Missing",O418="0.00",K418="Missing"),"Review","OK")</f>
        <v>OK</v>
      </c>
    </row>
    <row r="419" spans="1:17" x14ac:dyDescent="0.3">
      <c r="A419">
        <v>1046</v>
      </c>
      <c r="B419" t="s">
        <v>1350</v>
      </c>
      <c r="C419">
        <v>24</v>
      </c>
      <c r="D419" t="s">
        <v>16</v>
      </c>
      <c r="E419" s="3">
        <v>45857</v>
      </c>
      <c r="F419" s="3">
        <v>45533</v>
      </c>
      <c r="G419" t="s">
        <v>1351</v>
      </c>
      <c r="H419" t="s">
        <v>19</v>
      </c>
      <c r="I419" t="s">
        <v>1352</v>
      </c>
      <c r="J419">
        <v>0</v>
      </c>
      <c r="K419" t="str">
        <f t="shared" si="36"/>
        <v>Maria Harris</v>
      </c>
      <c r="L419" t="str">
        <f t="shared" si="37"/>
        <v>Female</v>
      </c>
      <c r="M419" t="str">
        <f t="shared" si="38"/>
        <v>Henry Hall</v>
      </c>
      <c r="N419" s="4" t="str">
        <f t="shared" si="39"/>
        <v>Orthopedics</v>
      </c>
      <c r="O419" s="6">
        <f t="shared" si="40"/>
        <v>372.5</v>
      </c>
      <c r="P419" s="4" t="str">
        <f t="shared" si="41"/>
        <v>No</v>
      </c>
      <c r="Q419" s="4" t="str">
        <f>IF(OR(A419="",C419="",L419="Missing",M419="Missing",O419="0.00",K419="Missing"),"Review","OK")</f>
        <v>OK</v>
      </c>
    </row>
    <row r="420" spans="1:17" x14ac:dyDescent="0.3">
      <c r="A420">
        <v>1093</v>
      </c>
      <c r="B420" t="s">
        <v>1353</v>
      </c>
      <c r="C420">
        <v>87</v>
      </c>
      <c r="D420" t="s">
        <v>16</v>
      </c>
      <c r="E420" s="3">
        <v>46044</v>
      </c>
      <c r="F420" s="3">
        <v>45362</v>
      </c>
      <c r="G420" t="s">
        <v>1354</v>
      </c>
      <c r="H420" t="s">
        <v>19</v>
      </c>
      <c r="I420" t="s">
        <v>1355</v>
      </c>
      <c r="J420">
        <v>0</v>
      </c>
      <c r="K420" t="str">
        <f t="shared" si="36"/>
        <v>Angela Davis</v>
      </c>
      <c r="L420" t="str">
        <f t="shared" si="37"/>
        <v>Female</v>
      </c>
      <c r="M420" t="str">
        <f t="shared" si="38"/>
        <v>Danielle Meyer</v>
      </c>
      <c r="N420" s="4" t="str">
        <f t="shared" si="39"/>
        <v>Orthopedics</v>
      </c>
      <c r="O420" s="6">
        <f t="shared" si="40"/>
        <v>60.76</v>
      </c>
      <c r="P420" s="4" t="str">
        <f t="shared" si="41"/>
        <v>No</v>
      </c>
      <c r="Q420" s="4" t="str">
        <f>IF(OR(A420="",C420="",L420="Missing",M420="Missing",O420="0.00",K420="Missing"),"Review","OK")</f>
        <v>OK</v>
      </c>
    </row>
    <row r="421" spans="1:17" x14ac:dyDescent="0.3">
      <c r="A421">
        <v>1072</v>
      </c>
      <c r="B421" t="s">
        <v>1356</v>
      </c>
      <c r="C421">
        <v>68</v>
      </c>
      <c r="D421">
        <v>1</v>
      </c>
      <c r="E421" s="3">
        <v>46032</v>
      </c>
      <c r="F421" s="3">
        <v>45911</v>
      </c>
      <c r="G421" t="s">
        <v>1357</v>
      </c>
      <c r="H421" t="s">
        <v>13</v>
      </c>
      <c r="I421" t="s">
        <v>1358</v>
      </c>
      <c r="J421" t="s">
        <v>65</v>
      </c>
      <c r="K421" t="str">
        <f t="shared" si="36"/>
        <v>Alex Burns</v>
      </c>
      <c r="L421" t="str">
        <f t="shared" si="37"/>
        <v>Female</v>
      </c>
      <c r="M421" t="str">
        <f t="shared" si="38"/>
        <v>Raymond Bond</v>
      </c>
      <c r="N421" s="4" t="str">
        <f t="shared" si="39"/>
        <v>Cardiology</v>
      </c>
      <c r="O421" s="6">
        <f t="shared" si="40"/>
        <v>290.52</v>
      </c>
      <c r="P421" s="4" t="str">
        <f t="shared" si="41"/>
        <v>No</v>
      </c>
      <c r="Q421" s="4" t="str">
        <f>IF(OR(A421="",C421="",L421="Missing",M421="Missing",O421="0.00",K421="Missing"),"Review","OK")</f>
        <v>OK</v>
      </c>
    </row>
    <row r="422" spans="1:17" x14ac:dyDescent="0.3">
      <c r="A422">
        <v>1089</v>
      </c>
      <c r="B422" t="s">
        <v>1359</v>
      </c>
      <c r="C422">
        <v>80</v>
      </c>
      <c r="D422">
        <v>1</v>
      </c>
      <c r="E422" s="3">
        <v>45912</v>
      </c>
      <c r="F422" s="3" t="s">
        <v>1360</v>
      </c>
      <c r="G422" t="s">
        <v>1361</v>
      </c>
      <c r="H422" t="s">
        <v>13</v>
      </c>
      <c r="I422" t="s">
        <v>1362</v>
      </c>
      <c r="J422">
        <v>0</v>
      </c>
      <c r="K422" t="str">
        <f t="shared" si="36"/>
        <v>Thomas Banks</v>
      </c>
      <c r="L422" t="str">
        <f t="shared" si="37"/>
        <v>Female</v>
      </c>
      <c r="M422" t="str">
        <f t="shared" si="38"/>
        <v>George Stevens</v>
      </c>
      <c r="N422" s="4" t="str">
        <f t="shared" si="39"/>
        <v>Cardiology</v>
      </c>
      <c r="O422" s="6">
        <f t="shared" si="40"/>
        <v>451.66</v>
      </c>
      <c r="P422" s="4" t="str">
        <f t="shared" si="41"/>
        <v>No</v>
      </c>
      <c r="Q422" s="4" t="str">
        <f>IF(OR(A422="",C422="",L422="Missing",M422="Missing",O422="0.00",K422="Missing"),"Review","OK")</f>
        <v>OK</v>
      </c>
    </row>
    <row r="423" spans="1:17" x14ac:dyDescent="0.3">
      <c r="A423">
        <v>1007</v>
      </c>
      <c r="B423" t="s">
        <v>1363</v>
      </c>
      <c r="C423">
        <v>39</v>
      </c>
      <c r="D423" t="s">
        <v>41</v>
      </c>
      <c r="E423" s="3">
        <v>46031</v>
      </c>
      <c r="F423" s="3">
        <v>45513</v>
      </c>
      <c r="G423" t="s">
        <v>1364</v>
      </c>
      <c r="H423" t="s">
        <v>13</v>
      </c>
      <c r="I423" t="s">
        <v>1365</v>
      </c>
      <c r="J423">
        <v>0</v>
      </c>
      <c r="K423" t="str">
        <f t="shared" si="36"/>
        <v>Courtney Everett</v>
      </c>
      <c r="L423" t="str">
        <f t="shared" si="37"/>
        <v>Female</v>
      </c>
      <c r="M423" t="str">
        <f t="shared" si="38"/>
        <v>Ryan Chavez</v>
      </c>
      <c r="N423" s="4" t="str">
        <f t="shared" si="39"/>
        <v>Cardiology</v>
      </c>
      <c r="O423" s="6">
        <f t="shared" si="40"/>
        <v>260.91000000000003</v>
      </c>
      <c r="P423" s="4" t="str">
        <f t="shared" si="41"/>
        <v>No</v>
      </c>
      <c r="Q423" s="4" t="str">
        <f>IF(OR(A423="",C423="",L423="Missing",M423="Missing",O423="0.00",K423="Missing"),"Review","OK")</f>
        <v>OK</v>
      </c>
    </row>
    <row r="424" spans="1:17" x14ac:dyDescent="0.3">
      <c r="A424">
        <v>1030</v>
      </c>
      <c r="B424" t="s">
        <v>1366</v>
      </c>
      <c r="C424">
        <v>18</v>
      </c>
      <c r="D424" t="s">
        <v>23</v>
      </c>
      <c r="E424" s="3" t="s">
        <v>1367</v>
      </c>
      <c r="F424" s="3">
        <v>45847</v>
      </c>
      <c r="G424" t="s">
        <v>1368</v>
      </c>
      <c r="H424" t="s">
        <v>19</v>
      </c>
      <c r="I424" t="s">
        <v>1369</v>
      </c>
      <c r="J424">
        <v>1</v>
      </c>
      <c r="K424" t="str">
        <f t="shared" si="36"/>
        <v>Lori Montgomery</v>
      </c>
      <c r="L424" t="str">
        <f t="shared" si="37"/>
        <v>Male</v>
      </c>
      <c r="M424" t="str">
        <f t="shared" si="38"/>
        <v>Christy Fisher</v>
      </c>
      <c r="N424" s="4" t="str">
        <f t="shared" si="39"/>
        <v>Orthopedics</v>
      </c>
      <c r="O424" s="6">
        <f t="shared" si="40"/>
        <v>117.12</v>
      </c>
      <c r="P424" s="4" t="str">
        <f t="shared" si="41"/>
        <v>Yes</v>
      </c>
      <c r="Q424" s="4" t="str">
        <f>IF(OR(A424="",C424="",L424="Missing",M424="Missing",O424="0.00",K424="Missing"),"Review","OK")</f>
        <v>OK</v>
      </c>
    </row>
    <row r="425" spans="1:17" x14ac:dyDescent="0.3">
      <c r="A425">
        <v>1088</v>
      </c>
      <c r="B425" t="s">
        <v>1370</v>
      </c>
      <c r="C425">
        <v>80</v>
      </c>
      <c r="D425" t="s">
        <v>23</v>
      </c>
      <c r="E425" s="3">
        <v>46087</v>
      </c>
      <c r="F425" s="3">
        <v>45826</v>
      </c>
      <c r="G425" t="s">
        <v>1371</v>
      </c>
      <c r="H425" t="s">
        <v>13</v>
      </c>
      <c r="I425" t="s">
        <v>1372</v>
      </c>
      <c r="J425" t="s">
        <v>21</v>
      </c>
      <c r="K425" t="str">
        <f t="shared" si="36"/>
        <v>Sarah Fuller</v>
      </c>
      <c r="L425" t="str">
        <f t="shared" si="37"/>
        <v>Male</v>
      </c>
      <c r="M425" t="str">
        <f t="shared" si="38"/>
        <v>Cody Ortega</v>
      </c>
      <c r="N425" s="4" t="str">
        <f t="shared" si="39"/>
        <v>Cardiology</v>
      </c>
      <c r="O425" s="6">
        <f t="shared" si="40"/>
        <v>460.11</v>
      </c>
      <c r="P425" s="4" t="str">
        <f t="shared" si="41"/>
        <v>Yes</v>
      </c>
      <c r="Q425" s="4" t="str">
        <f>IF(OR(A425="",C425="",L425="Missing",M425="Missing",O425="0.00",K425="Missing"),"Review","OK")</f>
        <v>OK</v>
      </c>
    </row>
    <row r="426" spans="1:17" x14ac:dyDescent="0.3">
      <c r="A426">
        <v>1077</v>
      </c>
      <c r="B426" t="s">
        <v>1373</v>
      </c>
      <c r="C426">
        <v>30</v>
      </c>
      <c r="D426" t="s">
        <v>56</v>
      </c>
      <c r="E426" s="3">
        <v>45882</v>
      </c>
      <c r="F426" s="3">
        <v>45932</v>
      </c>
      <c r="G426" t="s">
        <v>1374</v>
      </c>
      <c r="H426" t="s">
        <v>13</v>
      </c>
      <c r="I426" t="s">
        <v>1375</v>
      </c>
      <c r="J426">
        <v>1</v>
      </c>
      <c r="K426" t="str">
        <f t="shared" si="36"/>
        <v>Julia Mckenzie</v>
      </c>
      <c r="L426" t="str">
        <f t="shared" si="37"/>
        <v>Male</v>
      </c>
      <c r="M426" t="str">
        <f t="shared" si="38"/>
        <v>Sarah Scott</v>
      </c>
      <c r="N426" s="4" t="str">
        <f t="shared" si="39"/>
        <v>Cardiology</v>
      </c>
      <c r="O426" s="6">
        <f t="shared" si="40"/>
        <v>91.94</v>
      </c>
      <c r="P426" s="4" t="str">
        <f t="shared" si="41"/>
        <v>Yes</v>
      </c>
      <c r="Q426" s="4" t="str">
        <f>IF(OR(A426="",C426="",L426="Missing",M426="Missing",O426="0.00",K426="Missing"),"Review","OK")</f>
        <v>OK</v>
      </c>
    </row>
    <row r="427" spans="1:17" x14ac:dyDescent="0.3">
      <c r="A427">
        <v>1019</v>
      </c>
      <c r="B427" t="s">
        <v>1376</v>
      </c>
      <c r="C427">
        <v>33</v>
      </c>
      <c r="D427" t="s">
        <v>11</v>
      </c>
      <c r="E427" s="3">
        <v>45821</v>
      </c>
      <c r="F427" s="3">
        <v>45452</v>
      </c>
      <c r="G427" t="s">
        <v>1377</v>
      </c>
      <c r="H427" t="s">
        <v>29</v>
      </c>
      <c r="J427" t="s">
        <v>31</v>
      </c>
      <c r="K427" t="str">
        <f t="shared" si="36"/>
        <v>Eric Kim</v>
      </c>
      <c r="L427" t="str">
        <f t="shared" si="37"/>
        <v>Female</v>
      </c>
      <c r="M427" t="str">
        <f t="shared" si="38"/>
        <v>Arthur Harris</v>
      </c>
      <c r="N427" s="4" t="str">
        <f t="shared" si="39"/>
        <v>General</v>
      </c>
      <c r="O427" s="6" t="str">
        <f t="shared" si="40"/>
        <v>0.00</v>
      </c>
      <c r="P427" s="4" t="str">
        <f t="shared" si="41"/>
        <v>No</v>
      </c>
      <c r="Q427" s="4" t="str">
        <f>IF(OR(A427="",C427="",L427="Missing",M427="Missing",O427="0.00",K427="Missing"),"Review","OK")</f>
        <v>Review</v>
      </c>
    </row>
    <row r="428" spans="1:17" x14ac:dyDescent="0.3">
      <c r="A428">
        <v>1065</v>
      </c>
      <c r="B428" t="s">
        <v>1378</v>
      </c>
      <c r="C428">
        <v>31</v>
      </c>
      <c r="D428">
        <v>1</v>
      </c>
      <c r="E428" s="3">
        <v>46085</v>
      </c>
      <c r="F428" s="3" t="s">
        <v>1379</v>
      </c>
      <c r="G428" t="s">
        <v>1380</v>
      </c>
      <c r="H428" t="s">
        <v>19</v>
      </c>
      <c r="I428" t="s">
        <v>1381</v>
      </c>
      <c r="J428" t="s">
        <v>21</v>
      </c>
      <c r="K428" t="str">
        <f t="shared" si="36"/>
        <v>Anne Jacobs</v>
      </c>
      <c r="L428" t="str">
        <f t="shared" si="37"/>
        <v>Female</v>
      </c>
      <c r="M428" t="str">
        <f t="shared" si="38"/>
        <v>Lauren Clark</v>
      </c>
      <c r="N428" s="4" t="str">
        <f t="shared" si="39"/>
        <v>Orthopedics</v>
      </c>
      <c r="O428" s="6">
        <f t="shared" si="40"/>
        <v>347.38</v>
      </c>
      <c r="P428" s="4" t="str">
        <f t="shared" si="41"/>
        <v>Yes</v>
      </c>
      <c r="Q428" s="4" t="str">
        <f>IF(OR(A428="",C428="",L428="Missing",M428="Missing",O428="0.00",K428="Missing"),"Review","OK")</f>
        <v>OK</v>
      </c>
    </row>
    <row r="429" spans="1:17" x14ac:dyDescent="0.3">
      <c r="A429">
        <v>1081</v>
      </c>
      <c r="B429" t="s">
        <v>1382</v>
      </c>
      <c r="C429">
        <v>27</v>
      </c>
      <c r="D429">
        <v>0</v>
      </c>
      <c r="E429" s="3">
        <v>45854</v>
      </c>
      <c r="F429" s="3" t="s">
        <v>1383</v>
      </c>
      <c r="G429" t="s">
        <v>1384</v>
      </c>
      <c r="H429" t="s">
        <v>19</v>
      </c>
      <c r="I429" t="s">
        <v>1385</v>
      </c>
      <c r="J429" t="s">
        <v>39</v>
      </c>
      <c r="K429" t="str">
        <f t="shared" si="36"/>
        <v>Brandy Navarro</v>
      </c>
      <c r="L429" t="str">
        <f t="shared" si="37"/>
        <v>Male</v>
      </c>
      <c r="M429" t="str">
        <f t="shared" si="38"/>
        <v>Matthew Nichols</v>
      </c>
      <c r="N429" s="4" t="str">
        <f t="shared" si="39"/>
        <v>Orthopedics</v>
      </c>
      <c r="O429" s="6">
        <f t="shared" si="40"/>
        <v>288.43</v>
      </c>
      <c r="P429" s="4" t="str">
        <f t="shared" si="41"/>
        <v>Yes</v>
      </c>
      <c r="Q429" s="4" t="str">
        <f>IF(OR(A429="",C429="",L429="Missing",M429="Missing",O429="0.00",K429="Missing"),"Review","OK")</f>
        <v>OK</v>
      </c>
    </row>
    <row r="430" spans="1:17" x14ac:dyDescent="0.3">
      <c r="A430">
        <v>1058</v>
      </c>
      <c r="B430" t="s">
        <v>1386</v>
      </c>
      <c r="C430">
        <v>21</v>
      </c>
      <c r="D430">
        <v>0</v>
      </c>
      <c r="E430" s="3" t="s">
        <v>1387</v>
      </c>
      <c r="F430" s="3">
        <v>45739</v>
      </c>
      <c r="G430" t="s">
        <v>1388</v>
      </c>
      <c r="H430" t="s">
        <v>13</v>
      </c>
      <c r="I430" t="s">
        <v>1389</v>
      </c>
      <c r="J430">
        <v>0</v>
      </c>
      <c r="K430" t="str">
        <f t="shared" si="36"/>
        <v>Jennifer Lowery</v>
      </c>
      <c r="L430" t="str">
        <f t="shared" si="37"/>
        <v>Male</v>
      </c>
      <c r="M430" t="str">
        <f t="shared" si="38"/>
        <v>Tracy Johnson</v>
      </c>
      <c r="N430" s="4" t="str">
        <f t="shared" si="39"/>
        <v>Cardiology</v>
      </c>
      <c r="O430" s="6">
        <f t="shared" si="40"/>
        <v>222.2</v>
      </c>
      <c r="P430" s="4" t="str">
        <f t="shared" si="41"/>
        <v>No</v>
      </c>
      <c r="Q430" s="4" t="str">
        <f>IF(OR(A430="",C430="",L430="Missing",M430="Missing",O430="0.00",K430="Missing"),"Review","OK")</f>
        <v>OK</v>
      </c>
    </row>
    <row r="431" spans="1:17" x14ac:dyDescent="0.3">
      <c r="A431">
        <v>1034</v>
      </c>
      <c r="B431" t="s">
        <v>1390</v>
      </c>
      <c r="C431">
        <v>75</v>
      </c>
      <c r="D431" t="s">
        <v>16</v>
      </c>
      <c r="E431" s="3">
        <v>45813</v>
      </c>
      <c r="F431" s="3" t="s">
        <v>1391</v>
      </c>
      <c r="G431" t="s">
        <v>1392</v>
      </c>
      <c r="H431" t="s">
        <v>13</v>
      </c>
      <c r="I431" t="s">
        <v>1393</v>
      </c>
      <c r="J431">
        <v>1</v>
      </c>
      <c r="K431" t="str">
        <f t="shared" si="36"/>
        <v>Thomas Nash</v>
      </c>
      <c r="L431" t="str">
        <f t="shared" si="37"/>
        <v>Female</v>
      </c>
      <c r="M431" t="str">
        <f t="shared" si="38"/>
        <v>Justin Flores</v>
      </c>
      <c r="N431" s="4" t="str">
        <f t="shared" si="39"/>
        <v>Cardiology</v>
      </c>
      <c r="O431" s="6">
        <f t="shared" si="40"/>
        <v>180.6</v>
      </c>
      <c r="P431" s="4" t="str">
        <f t="shared" si="41"/>
        <v>Yes</v>
      </c>
      <c r="Q431" s="4" t="str">
        <f>IF(OR(A431="",C431="",L431="Missing",M431="Missing",O431="0.00",K431="Missing"),"Review","OK")</f>
        <v>OK</v>
      </c>
    </row>
    <row r="432" spans="1:17" x14ac:dyDescent="0.3">
      <c r="A432">
        <v>1068</v>
      </c>
      <c r="B432" t="s">
        <v>1394</v>
      </c>
      <c r="C432">
        <v>61</v>
      </c>
      <c r="D432" t="s">
        <v>11</v>
      </c>
      <c r="E432" s="3">
        <v>46006</v>
      </c>
      <c r="F432" s="3">
        <v>45483</v>
      </c>
      <c r="G432" t="s">
        <v>1395</v>
      </c>
      <c r="H432" t="s">
        <v>25</v>
      </c>
      <c r="J432">
        <v>1</v>
      </c>
      <c r="K432" t="str">
        <f t="shared" si="36"/>
        <v>Yolanda Thomas</v>
      </c>
      <c r="L432" t="str">
        <f t="shared" si="37"/>
        <v>Female</v>
      </c>
      <c r="M432" t="str">
        <f t="shared" si="38"/>
        <v>Keith Lee</v>
      </c>
      <c r="N432" s="4" t="str">
        <f t="shared" si="39"/>
        <v>Neurology</v>
      </c>
      <c r="O432" s="6" t="str">
        <f t="shared" si="40"/>
        <v>0.00</v>
      </c>
      <c r="P432" s="4" t="str">
        <f t="shared" si="41"/>
        <v>Yes</v>
      </c>
      <c r="Q432" s="4" t="str">
        <f>IF(OR(A432="",C432="",L432="Missing",M432="Missing",O432="0.00",K432="Missing"),"Review","OK")</f>
        <v>Review</v>
      </c>
    </row>
    <row r="433" spans="1:17" x14ac:dyDescent="0.3">
      <c r="A433">
        <v>1030</v>
      </c>
      <c r="B433" t="s">
        <v>1396</v>
      </c>
      <c r="C433">
        <v>80</v>
      </c>
      <c r="D433" t="s">
        <v>56</v>
      </c>
      <c r="E433" s="3">
        <v>46297</v>
      </c>
      <c r="F433" s="3">
        <v>45674</v>
      </c>
      <c r="G433" t="s">
        <v>1397</v>
      </c>
      <c r="H433" t="s">
        <v>13</v>
      </c>
      <c r="I433" t="s">
        <v>1398</v>
      </c>
      <c r="J433" t="s">
        <v>65</v>
      </c>
      <c r="K433" t="str">
        <f t="shared" si="36"/>
        <v>Victor Simmons</v>
      </c>
      <c r="L433" t="str">
        <f t="shared" si="37"/>
        <v>Male</v>
      </c>
      <c r="M433" t="str">
        <f t="shared" si="38"/>
        <v>Christopher Nelson</v>
      </c>
      <c r="N433" s="4" t="str">
        <f t="shared" si="39"/>
        <v>Cardiology</v>
      </c>
      <c r="O433" s="6">
        <f t="shared" si="40"/>
        <v>485.31</v>
      </c>
      <c r="P433" s="4" t="str">
        <f t="shared" si="41"/>
        <v>No</v>
      </c>
      <c r="Q433" s="4" t="str">
        <f>IF(OR(A433="",C433="",L433="Missing",M433="Missing",O433="0.00",K433="Missing"),"Review","OK")</f>
        <v>OK</v>
      </c>
    </row>
    <row r="434" spans="1:17" x14ac:dyDescent="0.3">
      <c r="A434">
        <v>1013</v>
      </c>
      <c r="B434" t="s">
        <v>1399</v>
      </c>
      <c r="C434">
        <v>86</v>
      </c>
      <c r="D434" t="s">
        <v>56</v>
      </c>
      <c r="E434" s="3">
        <v>45907</v>
      </c>
      <c r="F434" s="3">
        <v>45668</v>
      </c>
      <c r="G434" t="s">
        <v>1400</v>
      </c>
      <c r="H434" t="s">
        <v>25</v>
      </c>
      <c r="I434" t="s">
        <v>1401</v>
      </c>
      <c r="J434">
        <v>0</v>
      </c>
      <c r="K434" t="str">
        <f t="shared" si="36"/>
        <v>Edward Holland</v>
      </c>
      <c r="L434" t="str">
        <f t="shared" si="37"/>
        <v>Male</v>
      </c>
      <c r="M434" t="str">
        <f t="shared" si="38"/>
        <v>Joe Rodriguez</v>
      </c>
      <c r="N434" s="4" t="str">
        <f t="shared" si="39"/>
        <v>Neurology</v>
      </c>
      <c r="O434" s="6">
        <f t="shared" si="40"/>
        <v>255.9</v>
      </c>
      <c r="P434" s="4" t="str">
        <f t="shared" si="41"/>
        <v>No</v>
      </c>
      <c r="Q434" s="4" t="str">
        <f>IF(OR(A434="",C434="",L434="Missing",M434="Missing",O434="0.00",K434="Missing"),"Review","OK")</f>
        <v>OK</v>
      </c>
    </row>
    <row r="435" spans="1:17" x14ac:dyDescent="0.3">
      <c r="A435">
        <v>1092</v>
      </c>
      <c r="B435" t="s">
        <v>1402</v>
      </c>
      <c r="C435">
        <v>42</v>
      </c>
      <c r="D435" t="s">
        <v>23</v>
      </c>
      <c r="E435" s="3">
        <v>45767</v>
      </c>
      <c r="F435" s="3">
        <v>45574</v>
      </c>
      <c r="G435" t="s">
        <v>1403</v>
      </c>
      <c r="H435" t="s">
        <v>13</v>
      </c>
      <c r="I435" t="s">
        <v>1404</v>
      </c>
      <c r="J435">
        <v>1</v>
      </c>
      <c r="K435" t="str">
        <f t="shared" si="36"/>
        <v>Mary Foster</v>
      </c>
      <c r="L435" t="str">
        <f t="shared" si="37"/>
        <v>Male</v>
      </c>
      <c r="M435" t="str">
        <f t="shared" si="38"/>
        <v>Terry Welch</v>
      </c>
      <c r="N435" s="4" t="str">
        <f t="shared" si="39"/>
        <v>Cardiology</v>
      </c>
      <c r="O435" s="6">
        <f t="shared" si="40"/>
        <v>443.13</v>
      </c>
      <c r="P435" s="4" t="str">
        <f t="shared" si="41"/>
        <v>Yes</v>
      </c>
      <c r="Q435" s="4" t="str">
        <f>IF(OR(A435="",C435="",L435="Missing",M435="Missing",O435="0.00",K435="Missing"),"Review","OK")</f>
        <v>OK</v>
      </c>
    </row>
    <row r="436" spans="1:17" x14ac:dyDescent="0.3">
      <c r="A436">
        <v>1027</v>
      </c>
      <c r="B436" t="s">
        <v>1405</v>
      </c>
      <c r="C436">
        <v>63</v>
      </c>
      <c r="D436" t="s">
        <v>23</v>
      </c>
      <c r="E436" s="3">
        <v>45907</v>
      </c>
      <c r="F436" s="3">
        <v>45504</v>
      </c>
      <c r="G436" t="s">
        <v>1406</v>
      </c>
      <c r="H436" t="s">
        <v>19</v>
      </c>
      <c r="I436" t="s">
        <v>1407</v>
      </c>
      <c r="J436" t="s">
        <v>21</v>
      </c>
      <c r="K436" t="str">
        <f t="shared" si="36"/>
        <v>Michael Sullivan</v>
      </c>
      <c r="L436" t="str">
        <f t="shared" si="37"/>
        <v>Male</v>
      </c>
      <c r="M436" t="str">
        <f t="shared" si="38"/>
        <v>Angela Thomas</v>
      </c>
      <c r="N436" s="4" t="str">
        <f t="shared" si="39"/>
        <v>Orthopedics</v>
      </c>
      <c r="O436" s="6">
        <f t="shared" si="40"/>
        <v>318.88</v>
      </c>
      <c r="P436" s="4" t="str">
        <f t="shared" si="41"/>
        <v>Yes</v>
      </c>
      <c r="Q436" s="4" t="str">
        <f>IF(OR(A436="",C436="",L436="Missing",M436="Missing",O436="0.00",K436="Missing"),"Review","OK")</f>
        <v>OK</v>
      </c>
    </row>
    <row r="437" spans="1:17" x14ac:dyDescent="0.3">
      <c r="A437">
        <v>1067</v>
      </c>
      <c r="B437" t="s">
        <v>894</v>
      </c>
      <c r="C437">
        <v>54</v>
      </c>
      <c r="D437" t="s">
        <v>41</v>
      </c>
      <c r="E437" s="3">
        <v>45911</v>
      </c>
      <c r="F437" s="3">
        <v>45905</v>
      </c>
      <c r="G437" t="s">
        <v>1408</v>
      </c>
      <c r="H437" t="s">
        <v>13</v>
      </c>
      <c r="I437" t="s">
        <v>1409</v>
      </c>
      <c r="J437">
        <v>0</v>
      </c>
      <c r="K437" t="str">
        <f t="shared" si="36"/>
        <v>Thomas Smith</v>
      </c>
      <c r="L437" t="str">
        <f t="shared" si="37"/>
        <v>Female</v>
      </c>
      <c r="M437" t="str">
        <f t="shared" si="38"/>
        <v>Brandon Garcia</v>
      </c>
      <c r="N437" s="4" t="str">
        <f t="shared" si="39"/>
        <v>Cardiology</v>
      </c>
      <c r="O437" s="6">
        <f t="shared" si="40"/>
        <v>108.91</v>
      </c>
      <c r="P437" s="4" t="str">
        <f t="shared" si="41"/>
        <v>No</v>
      </c>
      <c r="Q437" s="4" t="str">
        <f>IF(OR(A437="",C437="",L437="Missing",M437="Missing",O437="0.00",K437="Missing"),"Review","OK")</f>
        <v>OK</v>
      </c>
    </row>
    <row r="438" spans="1:17" x14ac:dyDescent="0.3">
      <c r="A438">
        <v>1059</v>
      </c>
      <c r="B438" t="s">
        <v>1410</v>
      </c>
      <c r="C438">
        <v>34</v>
      </c>
      <c r="D438" t="s">
        <v>76</v>
      </c>
      <c r="E438" s="3">
        <v>45910</v>
      </c>
      <c r="F438" s="3">
        <v>45595</v>
      </c>
      <c r="G438" t="s">
        <v>1411</v>
      </c>
      <c r="H438" t="s">
        <v>25</v>
      </c>
      <c r="I438" t="s">
        <v>1412</v>
      </c>
      <c r="J438" t="s">
        <v>39</v>
      </c>
      <c r="K438" t="str">
        <f t="shared" si="36"/>
        <v>Melissa Ramirez</v>
      </c>
      <c r="L438" t="str">
        <f t="shared" si="37"/>
        <v>Male</v>
      </c>
      <c r="M438" t="str">
        <f t="shared" si="38"/>
        <v>Amber Clayton</v>
      </c>
      <c r="N438" s="4" t="str">
        <f t="shared" si="39"/>
        <v>Neurology</v>
      </c>
      <c r="O438" s="6">
        <f t="shared" si="40"/>
        <v>167.18</v>
      </c>
      <c r="P438" s="4" t="str">
        <f t="shared" si="41"/>
        <v>Yes</v>
      </c>
      <c r="Q438" s="4" t="str">
        <f>IF(OR(A438="",C438="",L438="Missing",M438="Missing",O438="0.00",K438="Missing"),"Review","OK")</f>
        <v>OK</v>
      </c>
    </row>
    <row r="439" spans="1:17" x14ac:dyDescent="0.3">
      <c r="A439">
        <v>1040</v>
      </c>
      <c r="B439" t="s">
        <v>1413</v>
      </c>
      <c r="C439">
        <v>22</v>
      </c>
      <c r="D439" t="s">
        <v>41</v>
      </c>
      <c r="E439" s="3">
        <v>46006</v>
      </c>
      <c r="F439" s="3" t="s">
        <v>354</v>
      </c>
      <c r="G439" t="s">
        <v>1414</v>
      </c>
      <c r="H439" t="s">
        <v>19</v>
      </c>
      <c r="I439" t="s">
        <v>1415</v>
      </c>
      <c r="J439" t="s">
        <v>65</v>
      </c>
      <c r="K439" t="str">
        <f t="shared" si="36"/>
        <v>Rachel Baker</v>
      </c>
      <c r="L439" t="str">
        <f t="shared" si="37"/>
        <v>Female</v>
      </c>
      <c r="M439" t="str">
        <f t="shared" si="38"/>
        <v>Maria Gentry</v>
      </c>
      <c r="N439" s="4" t="str">
        <f t="shared" si="39"/>
        <v>Orthopedics</v>
      </c>
      <c r="O439" s="6">
        <f t="shared" si="40"/>
        <v>444.67</v>
      </c>
      <c r="P439" s="4" t="str">
        <f t="shared" si="41"/>
        <v>No</v>
      </c>
      <c r="Q439" s="4" t="str">
        <f>IF(OR(A439="",C439="",L439="Missing",M439="Missing",O439="0.00",K439="Missing"),"Review","OK")</f>
        <v>OK</v>
      </c>
    </row>
    <row r="440" spans="1:17" x14ac:dyDescent="0.3">
      <c r="A440">
        <v>1058</v>
      </c>
      <c r="B440" t="s">
        <v>1416</v>
      </c>
      <c r="C440">
        <v>84</v>
      </c>
      <c r="D440" t="s">
        <v>11</v>
      </c>
      <c r="E440" s="3" t="s">
        <v>439</v>
      </c>
      <c r="F440" s="3">
        <v>45743</v>
      </c>
      <c r="G440" t="s">
        <v>1417</v>
      </c>
      <c r="H440" t="s">
        <v>25</v>
      </c>
      <c r="I440" t="s">
        <v>1418</v>
      </c>
      <c r="J440" t="s">
        <v>39</v>
      </c>
      <c r="K440" t="str">
        <f t="shared" si="36"/>
        <v>Penny West</v>
      </c>
      <c r="L440" t="str">
        <f t="shared" si="37"/>
        <v>Female</v>
      </c>
      <c r="M440" t="str">
        <f t="shared" si="38"/>
        <v>Heather Ortiz</v>
      </c>
      <c r="N440" s="4" t="str">
        <f t="shared" si="39"/>
        <v>Neurology</v>
      </c>
      <c r="O440" s="6">
        <f t="shared" si="40"/>
        <v>396.57</v>
      </c>
      <c r="P440" s="4" t="str">
        <f t="shared" si="41"/>
        <v>Yes</v>
      </c>
      <c r="Q440" s="4" t="str">
        <f>IF(OR(A440="",C440="",L440="Missing",M440="Missing",O440="0.00",K440="Missing"),"Review","OK")</f>
        <v>OK</v>
      </c>
    </row>
    <row r="441" spans="1:17" x14ac:dyDescent="0.3">
      <c r="A441">
        <v>1080</v>
      </c>
      <c r="B441" t="s">
        <v>1419</v>
      </c>
      <c r="C441">
        <v>45</v>
      </c>
      <c r="D441" t="s">
        <v>41</v>
      </c>
      <c r="E441" s="3">
        <v>45972</v>
      </c>
      <c r="F441" s="3">
        <v>45818</v>
      </c>
      <c r="G441" t="s">
        <v>1420</v>
      </c>
      <c r="H441" t="s">
        <v>13</v>
      </c>
      <c r="I441" t="s">
        <v>1421</v>
      </c>
      <c r="J441">
        <v>0</v>
      </c>
      <c r="K441" t="str">
        <f t="shared" si="36"/>
        <v>Michelle Mcclain</v>
      </c>
      <c r="L441" t="str">
        <f t="shared" si="37"/>
        <v>Female</v>
      </c>
      <c r="M441" t="str">
        <f t="shared" si="38"/>
        <v>Mrs. Amy Miller</v>
      </c>
      <c r="N441" s="4" t="str">
        <f t="shared" si="39"/>
        <v>Cardiology</v>
      </c>
      <c r="O441" s="6">
        <f t="shared" si="40"/>
        <v>185.29</v>
      </c>
      <c r="P441" s="4" t="str">
        <f t="shared" si="41"/>
        <v>No</v>
      </c>
      <c r="Q441" s="4" t="str">
        <f>IF(OR(A441="",C441="",L441="Missing",M441="Missing",O441="0.00",K441="Missing"),"Review","OK")</f>
        <v>OK</v>
      </c>
    </row>
    <row r="442" spans="1:17" x14ac:dyDescent="0.3">
      <c r="A442">
        <v>1026</v>
      </c>
      <c r="B442" t="s">
        <v>1422</v>
      </c>
      <c r="C442">
        <v>47</v>
      </c>
      <c r="D442" t="s">
        <v>41</v>
      </c>
      <c r="E442" s="3" t="s">
        <v>1110</v>
      </c>
      <c r="F442" s="3">
        <v>45421</v>
      </c>
      <c r="G442" t="s">
        <v>1423</v>
      </c>
      <c r="H442" t="s">
        <v>13</v>
      </c>
      <c r="I442" t="s">
        <v>1424</v>
      </c>
      <c r="J442" t="s">
        <v>31</v>
      </c>
      <c r="K442" t="str">
        <f t="shared" si="36"/>
        <v>Jennifer Davis</v>
      </c>
      <c r="L442" t="str">
        <f t="shared" si="37"/>
        <v>Female</v>
      </c>
      <c r="M442" t="str">
        <f t="shared" si="38"/>
        <v>Michael Bryant</v>
      </c>
      <c r="N442" s="4" t="str">
        <f t="shared" si="39"/>
        <v>Cardiology</v>
      </c>
      <c r="O442" s="6">
        <f t="shared" si="40"/>
        <v>215.89</v>
      </c>
      <c r="P442" s="4" t="str">
        <f t="shared" si="41"/>
        <v>No</v>
      </c>
      <c r="Q442" s="4" t="str">
        <f>IF(OR(A442="",C442="",L442="Missing",M442="Missing",O442="0.00",K442="Missing"),"Review","OK")</f>
        <v>OK</v>
      </c>
    </row>
    <row r="443" spans="1:17" x14ac:dyDescent="0.3">
      <c r="A443">
        <v>1058</v>
      </c>
      <c r="B443" t="s">
        <v>1425</v>
      </c>
      <c r="C443">
        <v>88</v>
      </c>
      <c r="E443" s="3">
        <v>45949</v>
      </c>
      <c r="F443" s="3">
        <v>45612</v>
      </c>
      <c r="G443" t="s">
        <v>1426</v>
      </c>
      <c r="H443" t="s">
        <v>25</v>
      </c>
      <c r="I443" t="s">
        <v>1427</v>
      </c>
      <c r="J443" t="s">
        <v>65</v>
      </c>
      <c r="K443" t="str">
        <f t="shared" si="36"/>
        <v>Kimberly Lee</v>
      </c>
      <c r="L443" t="str">
        <f t="shared" si="37"/>
        <v>Missing</v>
      </c>
      <c r="M443" t="str">
        <f t="shared" si="38"/>
        <v>Vanessa Ramirez</v>
      </c>
      <c r="N443" s="4" t="str">
        <f t="shared" si="39"/>
        <v>Neurology</v>
      </c>
      <c r="O443" s="6">
        <f t="shared" si="40"/>
        <v>438.81</v>
      </c>
      <c r="P443" s="4" t="str">
        <f t="shared" si="41"/>
        <v>No</v>
      </c>
      <c r="Q443" s="4" t="str">
        <f>IF(OR(A443="",C443="",L443="Missing",M443="Missing",O443="0.00",K443="Missing"),"Review","OK")</f>
        <v>Review</v>
      </c>
    </row>
    <row r="444" spans="1:17" x14ac:dyDescent="0.3">
      <c r="A444">
        <v>1065</v>
      </c>
      <c r="B444" t="s">
        <v>1428</v>
      </c>
      <c r="C444">
        <v>28</v>
      </c>
      <c r="D444" t="s">
        <v>56</v>
      </c>
      <c r="E444" s="3" t="s">
        <v>1429</v>
      </c>
      <c r="F444" s="3" t="s">
        <v>1430</v>
      </c>
      <c r="G444" t="s">
        <v>1431</v>
      </c>
      <c r="H444" t="s">
        <v>25</v>
      </c>
      <c r="I444" t="s">
        <v>1432</v>
      </c>
      <c r="J444">
        <v>1</v>
      </c>
      <c r="K444" t="str">
        <f t="shared" si="36"/>
        <v>Paul Perez</v>
      </c>
      <c r="L444" t="str">
        <f t="shared" si="37"/>
        <v>Male</v>
      </c>
      <c r="M444" t="str">
        <f t="shared" si="38"/>
        <v>Nancy Young</v>
      </c>
      <c r="N444" s="4" t="str">
        <f t="shared" si="39"/>
        <v>Neurology</v>
      </c>
      <c r="O444" s="6">
        <f t="shared" si="40"/>
        <v>231.7</v>
      </c>
      <c r="P444" s="4" t="str">
        <f t="shared" si="41"/>
        <v>Yes</v>
      </c>
      <c r="Q444" s="4" t="str">
        <f>IF(OR(A444="",C444="",L444="Missing",M444="Missing",O444="0.00",K444="Missing"),"Review","OK")</f>
        <v>OK</v>
      </c>
    </row>
    <row r="445" spans="1:17" x14ac:dyDescent="0.3">
      <c r="A445">
        <v>1016</v>
      </c>
      <c r="B445" t="s">
        <v>1433</v>
      </c>
      <c r="C445">
        <v>42</v>
      </c>
      <c r="D445">
        <v>1</v>
      </c>
      <c r="E445" s="3">
        <v>45966</v>
      </c>
      <c r="F445" s="3">
        <v>45507</v>
      </c>
      <c r="G445" t="s">
        <v>1434</v>
      </c>
      <c r="H445" t="s">
        <v>29</v>
      </c>
      <c r="J445" t="s">
        <v>21</v>
      </c>
      <c r="K445" t="str">
        <f t="shared" si="36"/>
        <v>Tyler Smith</v>
      </c>
      <c r="L445" t="str">
        <f t="shared" si="37"/>
        <v>Female</v>
      </c>
      <c r="M445" t="str">
        <f t="shared" si="38"/>
        <v>Melinda Smith</v>
      </c>
      <c r="N445" s="4" t="str">
        <f t="shared" si="39"/>
        <v>General</v>
      </c>
      <c r="O445" s="6" t="str">
        <f t="shared" si="40"/>
        <v>0.00</v>
      </c>
      <c r="P445" s="4" t="str">
        <f t="shared" si="41"/>
        <v>Yes</v>
      </c>
      <c r="Q445" s="4" t="str">
        <f>IF(OR(A445="",C445="",L445="Missing",M445="Missing",O445="0.00",K445="Missing"),"Review","OK")</f>
        <v>Review</v>
      </c>
    </row>
    <row r="446" spans="1:17" x14ac:dyDescent="0.3">
      <c r="A446">
        <v>1064</v>
      </c>
      <c r="B446" t="s">
        <v>1435</v>
      </c>
      <c r="C446">
        <v>27</v>
      </c>
      <c r="D446" t="s">
        <v>41</v>
      </c>
      <c r="E446" s="3">
        <v>46073</v>
      </c>
      <c r="F446" s="3">
        <v>45844</v>
      </c>
      <c r="G446" t="s">
        <v>1436</v>
      </c>
      <c r="H446" t="s">
        <v>29</v>
      </c>
      <c r="I446" t="s">
        <v>1437</v>
      </c>
      <c r="J446" t="s">
        <v>39</v>
      </c>
      <c r="K446" t="str">
        <f t="shared" si="36"/>
        <v>Anthony Boyd</v>
      </c>
      <c r="L446" t="str">
        <f t="shared" si="37"/>
        <v>Female</v>
      </c>
      <c r="M446" t="str">
        <f t="shared" si="38"/>
        <v>Bradley Gibson</v>
      </c>
      <c r="N446" s="4" t="str">
        <f t="shared" si="39"/>
        <v>General</v>
      </c>
      <c r="O446" s="6">
        <f t="shared" si="40"/>
        <v>173.85</v>
      </c>
      <c r="P446" s="4" t="str">
        <f t="shared" si="41"/>
        <v>Yes</v>
      </c>
      <c r="Q446" s="4" t="str">
        <f>IF(OR(A446="",C446="",L446="Missing",M446="Missing",O446="0.00",K446="Missing"),"Review","OK")</f>
        <v>OK</v>
      </c>
    </row>
    <row r="447" spans="1:17" x14ac:dyDescent="0.3">
      <c r="A447">
        <v>1036</v>
      </c>
      <c r="B447" t="s">
        <v>1438</v>
      </c>
      <c r="C447">
        <v>59</v>
      </c>
      <c r="D447">
        <v>1</v>
      </c>
      <c r="E447" s="3">
        <v>45946</v>
      </c>
      <c r="F447" s="3" t="s">
        <v>1439</v>
      </c>
      <c r="G447" t="s">
        <v>1440</v>
      </c>
      <c r="H447" t="s">
        <v>13</v>
      </c>
      <c r="I447" t="s">
        <v>1441</v>
      </c>
      <c r="J447" t="s">
        <v>39</v>
      </c>
      <c r="K447" t="str">
        <f t="shared" si="36"/>
        <v>Henry Snyder</v>
      </c>
      <c r="L447" t="str">
        <f t="shared" si="37"/>
        <v>Female</v>
      </c>
      <c r="M447" t="str">
        <f t="shared" si="38"/>
        <v>Theresa Simon</v>
      </c>
      <c r="N447" s="4" t="str">
        <f t="shared" si="39"/>
        <v>Cardiology</v>
      </c>
      <c r="O447" s="6">
        <f t="shared" si="40"/>
        <v>285.44</v>
      </c>
      <c r="P447" s="4" t="str">
        <f t="shared" si="41"/>
        <v>Yes</v>
      </c>
      <c r="Q447" s="4" t="str">
        <f>IF(OR(A447="",C447="",L447="Missing",M447="Missing",O447="0.00",K447="Missing"),"Review","OK")</f>
        <v>OK</v>
      </c>
    </row>
    <row r="448" spans="1:17" x14ac:dyDescent="0.3">
      <c r="A448">
        <v>1017</v>
      </c>
      <c r="B448" t="s">
        <v>1442</v>
      </c>
      <c r="C448">
        <v>34</v>
      </c>
      <c r="D448" t="s">
        <v>41</v>
      </c>
      <c r="E448" s="3" t="s">
        <v>1443</v>
      </c>
      <c r="F448" s="3">
        <v>45791</v>
      </c>
      <c r="G448" t="s">
        <v>1444</v>
      </c>
      <c r="H448" t="s">
        <v>29</v>
      </c>
      <c r="I448" t="s">
        <v>1445</v>
      </c>
      <c r="J448" t="s">
        <v>65</v>
      </c>
      <c r="K448" t="str">
        <f t="shared" si="36"/>
        <v>Sabrina Wade</v>
      </c>
      <c r="L448" t="str">
        <f t="shared" si="37"/>
        <v>Female</v>
      </c>
      <c r="M448" t="str">
        <f t="shared" si="38"/>
        <v>Randy Vargas</v>
      </c>
      <c r="N448" s="4" t="str">
        <f t="shared" si="39"/>
        <v>General</v>
      </c>
      <c r="O448" s="6">
        <f t="shared" si="40"/>
        <v>202.92</v>
      </c>
      <c r="P448" s="4" t="str">
        <f t="shared" si="41"/>
        <v>No</v>
      </c>
      <c r="Q448" s="4" t="str">
        <f>IF(OR(A448="",C448="",L448="Missing",M448="Missing",O448="0.00",K448="Missing"),"Review","OK")</f>
        <v>OK</v>
      </c>
    </row>
    <row r="449" spans="1:17" x14ac:dyDescent="0.3">
      <c r="A449">
        <v>1005</v>
      </c>
      <c r="B449" t="s">
        <v>1446</v>
      </c>
      <c r="C449">
        <v>69</v>
      </c>
      <c r="D449" t="s">
        <v>76</v>
      </c>
      <c r="E449" s="3">
        <v>45936</v>
      </c>
      <c r="F449" s="3">
        <v>45625</v>
      </c>
      <c r="G449" t="s">
        <v>1447</v>
      </c>
      <c r="H449" t="s">
        <v>25</v>
      </c>
      <c r="I449" t="s">
        <v>1448</v>
      </c>
      <c r="J449" t="s">
        <v>39</v>
      </c>
      <c r="K449" t="str">
        <f t="shared" si="36"/>
        <v>Cody Scott</v>
      </c>
      <c r="L449" t="str">
        <f t="shared" si="37"/>
        <v>Male</v>
      </c>
      <c r="M449" t="str">
        <f t="shared" si="38"/>
        <v>Larry Cohen</v>
      </c>
      <c r="N449" s="4" t="str">
        <f t="shared" si="39"/>
        <v>Neurology</v>
      </c>
      <c r="O449" s="6">
        <f t="shared" si="40"/>
        <v>383.47</v>
      </c>
      <c r="P449" s="4" t="str">
        <f t="shared" si="41"/>
        <v>Yes</v>
      </c>
      <c r="Q449" s="4" t="str">
        <f>IF(OR(A449="",C449="",L449="Missing",M449="Missing",O449="0.00",K449="Missing"),"Review","OK")</f>
        <v>OK</v>
      </c>
    </row>
    <row r="450" spans="1:17" x14ac:dyDescent="0.3">
      <c r="A450">
        <v>1086</v>
      </c>
      <c r="B450" t="s">
        <v>1449</v>
      </c>
      <c r="C450">
        <v>84</v>
      </c>
      <c r="D450">
        <v>1</v>
      </c>
      <c r="E450" s="3" t="s">
        <v>1450</v>
      </c>
      <c r="F450" s="3" t="s">
        <v>1451</v>
      </c>
      <c r="G450" t="s">
        <v>1452</v>
      </c>
      <c r="H450" t="s">
        <v>29</v>
      </c>
      <c r="I450" t="s">
        <v>1453</v>
      </c>
      <c r="J450" t="s">
        <v>21</v>
      </c>
      <c r="K450" t="str">
        <f t="shared" ref="K450:K513" si="42">PROPER(TRIM(CLEAN(B450)))</f>
        <v>David Mcdonald</v>
      </c>
      <c r="L450" t="str">
        <f t="shared" ref="L450:L513" si="43">_xlfn.LET(_xlpm.x,LOWER(TRIM(D450)),
IF(OR(_xlpm.x="f",_xlpm.x="female",_xlpm.x="1"),"Female",
IF(OR(_xlpm.x="m",_xlpm.x="male",_xlpm.x="0"),"Male",
IF(_xlpm.x="","Missing","Review"))))</f>
        <v>Female</v>
      </c>
      <c r="M450" t="str">
        <f t="shared" ref="M450:M513" si="44">PROPER(TRIM(CLEAN(G450)))</f>
        <v>Donald Garcia</v>
      </c>
      <c r="N450" s="4" t="str">
        <f t="shared" ref="N450:N513" si="45">PROPER(TRIM(CLEAN(H450)))</f>
        <v>General</v>
      </c>
      <c r="O450" s="6">
        <f t="shared" ref="O450:O513" si="46">_xlfn.LET(_xlpm.x,TRIM(I450),IF(_xlpm.x="","0.00",IFERROR(VALUE(SUBSTITUTE(SUBSTITUTE(SUBSTITUTE(SUBSTITUTE(SUBSTITUTE(SUBSTITUTE(_xlpm.x,"Â£",""),"â‚¬",""),"$",""),"Rs",""),"£",""),"€","")),"0.00")))</f>
        <v>302.66000000000003</v>
      </c>
      <c r="P450" s="4" t="str">
        <f t="shared" ref="P450:P513" si="47">_xlfn.LET(_xlpm.x,LOWER(TRIM(J450)),
IF(OR(_xlpm.x="y",_xlpm.x="yes",_xlpm.x="1"),"Yes",
IF(OR(_xlpm.x="n",_xlpm.x="no",_xlpm.x="0"),"No",
IF(_xlpm.x="","Missing","Review"))))</f>
        <v>Yes</v>
      </c>
      <c r="Q450" s="4" t="str">
        <f>IF(OR(A450="",C450="",L450="Missing",M450="Missing",O450="0.00",K450="Missing"),"Review","OK")</f>
        <v>OK</v>
      </c>
    </row>
    <row r="451" spans="1:17" x14ac:dyDescent="0.3">
      <c r="A451">
        <v>1095</v>
      </c>
      <c r="B451" t="s">
        <v>1454</v>
      </c>
      <c r="C451">
        <v>37</v>
      </c>
      <c r="D451">
        <v>1</v>
      </c>
      <c r="E451" s="3" t="s">
        <v>1455</v>
      </c>
      <c r="F451" s="3">
        <v>45432</v>
      </c>
      <c r="G451" t="s">
        <v>1456</v>
      </c>
      <c r="H451" t="s">
        <v>19</v>
      </c>
      <c r="I451" t="s">
        <v>1457</v>
      </c>
      <c r="J451" t="s">
        <v>39</v>
      </c>
      <c r="K451" t="str">
        <f t="shared" si="42"/>
        <v>Sherri Guzman</v>
      </c>
      <c r="L451" t="str">
        <f t="shared" si="43"/>
        <v>Female</v>
      </c>
      <c r="M451" t="str">
        <f t="shared" si="44"/>
        <v>Carlos Morton</v>
      </c>
      <c r="N451" s="4" t="str">
        <f t="shared" si="45"/>
        <v>Orthopedics</v>
      </c>
      <c r="O451" s="6">
        <f t="shared" si="46"/>
        <v>472.57</v>
      </c>
      <c r="P451" s="4" t="str">
        <f t="shared" si="47"/>
        <v>Yes</v>
      </c>
      <c r="Q451" s="4" t="str">
        <f>IF(OR(A451="",C451="",L451="Missing",M451="Missing",O451="0.00",K451="Missing"),"Review","OK")</f>
        <v>OK</v>
      </c>
    </row>
    <row r="452" spans="1:17" x14ac:dyDescent="0.3">
      <c r="A452">
        <v>1030</v>
      </c>
      <c r="B452" t="s">
        <v>1458</v>
      </c>
      <c r="C452">
        <v>25</v>
      </c>
      <c r="D452" t="s">
        <v>16</v>
      </c>
      <c r="E452" s="3" t="s">
        <v>268</v>
      </c>
      <c r="F452" s="3" t="s">
        <v>1055</v>
      </c>
      <c r="G452" t="s">
        <v>1459</v>
      </c>
      <c r="H452" t="s">
        <v>19</v>
      </c>
      <c r="I452" t="s">
        <v>1460</v>
      </c>
      <c r="J452" t="s">
        <v>31</v>
      </c>
      <c r="K452" t="str">
        <f t="shared" si="42"/>
        <v>Mr. Brian Anderson</v>
      </c>
      <c r="L452" t="str">
        <f t="shared" si="43"/>
        <v>Female</v>
      </c>
      <c r="M452" t="str">
        <f t="shared" si="44"/>
        <v>Adrienne Roberts</v>
      </c>
      <c r="N452" s="4" t="str">
        <f t="shared" si="45"/>
        <v>Orthopedics</v>
      </c>
      <c r="O452" s="6">
        <f t="shared" si="46"/>
        <v>417.21</v>
      </c>
      <c r="P452" s="4" t="str">
        <f t="shared" si="47"/>
        <v>No</v>
      </c>
      <c r="Q452" s="4" t="str">
        <f>IF(OR(A452="",C452="",L452="Missing",M452="Missing",O452="0.00",K452="Missing"),"Review","OK")</f>
        <v>OK</v>
      </c>
    </row>
    <row r="453" spans="1:17" x14ac:dyDescent="0.3">
      <c r="A453">
        <v>1059</v>
      </c>
      <c r="B453" t="s">
        <v>1461</v>
      </c>
      <c r="C453">
        <v>84</v>
      </c>
      <c r="D453" t="s">
        <v>11</v>
      </c>
      <c r="E453" s="3">
        <v>46097</v>
      </c>
      <c r="F453" s="3">
        <v>45630</v>
      </c>
      <c r="G453" t="s">
        <v>1462</v>
      </c>
      <c r="H453" t="s">
        <v>25</v>
      </c>
      <c r="I453" t="s">
        <v>1463</v>
      </c>
      <c r="J453" t="s">
        <v>39</v>
      </c>
      <c r="K453" t="str">
        <f t="shared" si="42"/>
        <v>Kayla Mccormick</v>
      </c>
      <c r="L453" t="str">
        <f t="shared" si="43"/>
        <v>Female</v>
      </c>
      <c r="M453" t="str">
        <f t="shared" si="44"/>
        <v>Robert Burton</v>
      </c>
      <c r="N453" s="4" t="str">
        <f t="shared" si="45"/>
        <v>Neurology</v>
      </c>
      <c r="O453" s="6">
        <f t="shared" si="46"/>
        <v>244.68</v>
      </c>
      <c r="P453" s="4" t="str">
        <f t="shared" si="47"/>
        <v>Yes</v>
      </c>
      <c r="Q453" s="4" t="str">
        <f>IF(OR(A453="",C453="",L453="Missing",M453="Missing",O453="0.00",K453="Missing"),"Review","OK")</f>
        <v>OK</v>
      </c>
    </row>
    <row r="454" spans="1:17" x14ac:dyDescent="0.3">
      <c r="A454">
        <v>1012</v>
      </c>
      <c r="B454" t="s">
        <v>1464</v>
      </c>
      <c r="C454">
        <v>30</v>
      </c>
      <c r="D454">
        <v>0</v>
      </c>
      <c r="E454" s="3">
        <v>46030</v>
      </c>
      <c r="F454" s="3">
        <v>45888</v>
      </c>
      <c r="G454" t="s">
        <v>1465</v>
      </c>
      <c r="H454" t="s">
        <v>13</v>
      </c>
      <c r="I454" t="s">
        <v>1466</v>
      </c>
      <c r="J454" t="s">
        <v>21</v>
      </c>
      <c r="K454" t="str">
        <f t="shared" si="42"/>
        <v>Mark Reeves</v>
      </c>
      <c r="L454" t="str">
        <f t="shared" si="43"/>
        <v>Male</v>
      </c>
      <c r="M454" t="str">
        <f t="shared" si="44"/>
        <v>Mark Hill</v>
      </c>
      <c r="N454" s="4" t="str">
        <f t="shared" si="45"/>
        <v>Cardiology</v>
      </c>
      <c r="O454" s="6">
        <f t="shared" si="46"/>
        <v>70.7</v>
      </c>
      <c r="P454" s="4" t="str">
        <f t="shared" si="47"/>
        <v>Yes</v>
      </c>
      <c r="Q454" s="4" t="str">
        <f>IF(OR(A454="",C454="",L454="Missing",M454="Missing",O454="0.00",K454="Missing"),"Review","OK")</f>
        <v>OK</v>
      </c>
    </row>
    <row r="455" spans="1:17" x14ac:dyDescent="0.3">
      <c r="A455">
        <v>1074</v>
      </c>
      <c r="B455" t="s">
        <v>1467</v>
      </c>
      <c r="C455">
        <v>64</v>
      </c>
      <c r="D455" t="s">
        <v>56</v>
      </c>
      <c r="E455" s="3" t="s">
        <v>226</v>
      </c>
      <c r="F455" s="3">
        <v>45571</v>
      </c>
      <c r="G455" t="s">
        <v>1468</v>
      </c>
      <c r="H455" t="s">
        <v>29</v>
      </c>
      <c r="I455" t="s">
        <v>1469</v>
      </c>
      <c r="J455" t="s">
        <v>31</v>
      </c>
      <c r="K455" t="str">
        <f t="shared" si="42"/>
        <v>Debra Short</v>
      </c>
      <c r="L455" t="str">
        <f t="shared" si="43"/>
        <v>Male</v>
      </c>
      <c r="M455" t="str">
        <f t="shared" si="44"/>
        <v>Karla Baker</v>
      </c>
      <c r="N455" s="4" t="str">
        <f t="shared" si="45"/>
        <v>General</v>
      </c>
      <c r="O455" s="6">
        <f t="shared" si="46"/>
        <v>386.37</v>
      </c>
      <c r="P455" s="4" t="str">
        <f t="shared" si="47"/>
        <v>No</v>
      </c>
      <c r="Q455" s="4" t="str">
        <f>IF(OR(A455="",C455="",L455="Missing",M455="Missing",O455="0.00",K455="Missing"),"Review","OK")</f>
        <v>OK</v>
      </c>
    </row>
    <row r="456" spans="1:17" x14ac:dyDescent="0.3">
      <c r="A456">
        <v>1082</v>
      </c>
      <c r="B456" t="s">
        <v>1470</v>
      </c>
      <c r="C456">
        <v>33</v>
      </c>
      <c r="D456" t="s">
        <v>76</v>
      </c>
      <c r="E456" s="3">
        <v>45819</v>
      </c>
      <c r="F456" s="3" t="s">
        <v>1471</v>
      </c>
      <c r="G456" t="s">
        <v>1472</v>
      </c>
      <c r="H456" t="s">
        <v>25</v>
      </c>
      <c r="I456" t="s">
        <v>1473</v>
      </c>
      <c r="J456" t="s">
        <v>39</v>
      </c>
      <c r="K456" t="str">
        <f t="shared" si="42"/>
        <v>Melissa Richmond</v>
      </c>
      <c r="L456" t="str">
        <f t="shared" si="43"/>
        <v>Male</v>
      </c>
      <c r="M456" t="str">
        <f t="shared" si="44"/>
        <v>Jasmin Holmes</v>
      </c>
      <c r="N456" s="4" t="str">
        <f t="shared" si="45"/>
        <v>Neurology</v>
      </c>
      <c r="O456" s="6">
        <f t="shared" si="46"/>
        <v>387.75</v>
      </c>
      <c r="P456" s="4" t="str">
        <f t="shared" si="47"/>
        <v>Yes</v>
      </c>
      <c r="Q456" s="4" t="str">
        <f>IF(OR(A456="",C456="",L456="Missing",M456="Missing",O456="0.00",K456="Missing"),"Review","OK")</f>
        <v>OK</v>
      </c>
    </row>
    <row r="457" spans="1:17" x14ac:dyDescent="0.3">
      <c r="A457">
        <v>1009</v>
      </c>
      <c r="B457" t="s">
        <v>1474</v>
      </c>
      <c r="C457">
        <v>63</v>
      </c>
      <c r="D457" t="s">
        <v>76</v>
      </c>
      <c r="E457" s="3">
        <v>46070</v>
      </c>
      <c r="F457" s="3">
        <v>46033</v>
      </c>
      <c r="G457" t="s">
        <v>1475</v>
      </c>
      <c r="H457" t="s">
        <v>13</v>
      </c>
      <c r="I457" t="s">
        <v>1476</v>
      </c>
      <c r="J457" t="s">
        <v>65</v>
      </c>
      <c r="K457" t="str">
        <f t="shared" si="42"/>
        <v>Linda Murphy</v>
      </c>
      <c r="L457" t="str">
        <f t="shared" si="43"/>
        <v>Male</v>
      </c>
      <c r="M457" t="str">
        <f t="shared" si="44"/>
        <v>Margaret Montoya</v>
      </c>
      <c r="N457" s="4" t="str">
        <f t="shared" si="45"/>
        <v>Cardiology</v>
      </c>
      <c r="O457" s="6">
        <f t="shared" si="46"/>
        <v>176.68</v>
      </c>
      <c r="P457" s="4" t="str">
        <f t="shared" si="47"/>
        <v>No</v>
      </c>
      <c r="Q457" s="4" t="str">
        <f>IF(OR(A457="",C457="",L457="Missing",M457="Missing",O457="0.00",K457="Missing"),"Review","OK")</f>
        <v>OK</v>
      </c>
    </row>
    <row r="458" spans="1:17" x14ac:dyDescent="0.3">
      <c r="A458">
        <v>1091</v>
      </c>
      <c r="B458" t="s">
        <v>1477</v>
      </c>
      <c r="C458">
        <v>86</v>
      </c>
      <c r="D458" t="s">
        <v>56</v>
      </c>
      <c r="E458" s="3">
        <v>46014</v>
      </c>
      <c r="F458" s="3" t="s">
        <v>1478</v>
      </c>
      <c r="G458" t="s">
        <v>1479</v>
      </c>
      <c r="H458" t="s">
        <v>29</v>
      </c>
      <c r="I458" t="s">
        <v>1480</v>
      </c>
      <c r="J458">
        <v>0</v>
      </c>
      <c r="K458" t="str">
        <f t="shared" si="42"/>
        <v>Michael Gonzales</v>
      </c>
      <c r="L458" t="str">
        <f t="shared" si="43"/>
        <v>Male</v>
      </c>
      <c r="M458" t="str">
        <f t="shared" si="44"/>
        <v>Richard Torres</v>
      </c>
      <c r="N458" s="4" t="str">
        <f t="shared" si="45"/>
        <v>General</v>
      </c>
      <c r="O458" s="6">
        <f t="shared" si="46"/>
        <v>491.64</v>
      </c>
      <c r="P458" s="4" t="str">
        <f t="shared" si="47"/>
        <v>No</v>
      </c>
      <c r="Q458" s="4" t="str">
        <f>IF(OR(A458="",C458="",L458="Missing",M458="Missing",O458="0.00",K458="Missing"),"Review","OK")</f>
        <v>OK</v>
      </c>
    </row>
    <row r="459" spans="1:17" x14ac:dyDescent="0.3">
      <c r="A459">
        <v>1038</v>
      </c>
      <c r="B459" t="s">
        <v>1481</v>
      </c>
      <c r="C459">
        <v>54</v>
      </c>
      <c r="D459">
        <v>0</v>
      </c>
      <c r="E459" s="3">
        <v>45824</v>
      </c>
      <c r="F459" s="3">
        <v>45771</v>
      </c>
      <c r="G459" t="s">
        <v>1482</v>
      </c>
      <c r="H459" t="s">
        <v>29</v>
      </c>
      <c r="I459" t="s">
        <v>1483</v>
      </c>
      <c r="J459">
        <v>0</v>
      </c>
      <c r="K459" t="str">
        <f t="shared" si="42"/>
        <v>Samantha Garner</v>
      </c>
      <c r="L459" t="str">
        <f t="shared" si="43"/>
        <v>Male</v>
      </c>
      <c r="M459" t="str">
        <f t="shared" si="44"/>
        <v>Jacob Hobbs</v>
      </c>
      <c r="N459" s="4" t="str">
        <f t="shared" si="45"/>
        <v>General</v>
      </c>
      <c r="O459" s="6">
        <f t="shared" si="46"/>
        <v>325.91000000000003</v>
      </c>
      <c r="P459" s="4" t="str">
        <f t="shared" si="47"/>
        <v>No</v>
      </c>
      <c r="Q459" s="4" t="str">
        <f>IF(OR(A459="",C459="",L459="Missing",M459="Missing",O459="0.00",K459="Missing"),"Review","OK")</f>
        <v>OK</v>
      </c>
    </row>
    <row r="460" spans="1:17" x14ac:dyDescent="0.3">
      <c r="A460">
        <v>1037</v>
      </c>
      <c r="B460" t="s">
        <v>1484</v>
      </c>
      <c r="C460">
        <v>52</v>
      </c>
      <c r="D460">
        <v>1</v>
      </c>
      <c r="E460" s="3">
        <v>45997</v>
      </c>
      <c r="F460" s="3">
        <v>45676</v>
      </c>
      <c r="G460" t="s">
        <v>1485</v>
      </c>
      <c r="H460" t="s">
        <v>29</v>
      </c>
      <c r="J460" t="s">
        <v>65</v>
      </c>
      <c r="K460" t="str">
        <f t="shared" si="42"/>
        <v>David Reeves</v>
      </c>
      <c r="L460" t="str">
        <f t="shared" si="43"/>
        <v>Female</v>
      </c>
      <c r="M460" t="str">
        <f t="shared" si="44"/>
        <v>Marc Copeland</v>
      </c>
      <c r="N460" s="4" t="str">
        <f t="shared" si="45"/>
        <v>General</v>
      </c>
      <c r="O460" s="6" t="str">
        <f t="shared" si="46"/>
        <v>0.00</v>
      </c>
      <c r="P460" s="4" t="str">
        <f t="shared" si="47"/>
        <v>No</v>
      </c>
      <c r="Q460" s="4" t="str">
        <f>IF(OR(A460="",C460="",L460="Missing",M460="Missing",O460="0.00",K460="Missing"),"Review","OK")</f>
        <v>Review</v>
      </c>
    </row>
    <row r="461" spans="1:17" x14ac:dyDescent="0.3">
      <c r="A461">
        <v>1053</v>
      </c>
      <c r="B461" t="s">
        <v>1121</v>
      </c>
      <c r="C461">
        <v>30</v>
      </c>
      <c r="D461" t="s">
        <v>41</v>
      </c>
      <c r="E461" s="3">
        <v>46022</v>
      </c>
      <c r="F461" s="3">
        <v>45975</v>
      </c>
      <c r="G461" t="s">
        <v>1486</v>
      </c>
      <c r="H461" t="s">
        <v>13</v>
      </c>
      <c r="I461" t="s">
        <v>1487</v>
      </c>
      <c r="J461" t="s">
        <v>21</v>
      </c>
      <c r="K461" t="str">
        <f t="shared" si="42"/>
        <v>Jennifer Schwartz</v>
      </c>
      <c r="L461" t="str">
        <f t="shared" si="43"/>
        <v>Female</v>
      </c>
      <c r="M461" t="str">
        <f t="shared" si="44"/>
        <v>Tamara Smith</v>
      </c>
      <c r="N461" s="4" t="str">
        <f t="shared" si="45"/>
        <v>Cardiology</v>
      </c>
      <c r="O461" s="6">
        <f t="shared" si="46"/>
        <v>280.20999999999998</v>
      </c>
      <c r="P461" s="4" t="str">
        <f t="shared" si="47"/>
        <v>Yes</v>
      </c>
      <c r="Q461" s="4" t="str">
        <f>IF(OR(A461="",C461="",L461="Missing",M461="Missing",O461="0.00",K461="Missing"),"Review","OK")</f>
        <v>OK</v>
      </c>
    </row>
    <row r="462" spans="1:17" x14ac:dyDescent="0.3">
      <c r="A462">
        <v>1043</v>
      </c>
      <c r="B462" t="s">
        <v>1488</v>
      </c>
      <c r="C462">
        <v>28</v>
      </c>
      <c r="D462">
        <v>0</v>
      </c>
      <c r="E462" s="3" t="s">
        <v>1489</v>
      </c>
      <c r="F462" s="3">
        <v>45827</v>
      </c>
      <c r="G462" t="s">
        <v>1490</v>
      </c>
      <c r="H462" t="s">
        <v>29</v>
      </c>
      <c r="I462" t="s">
        <v>1491</v>
      </c>
      <c r="J462">
        <v>0</v>
      </c>
      <c r="K462" t="str">
        <f t="shared" si="42"/>
        <v>William Conley</v>
      </c>
      <c r="L462" t="str">
        <f t="shared" si="43"/>
        <v>Male</v>
      </c>
      <c r="M462" t="str">
        <f t="shared" si="44"/>
        <v>Thomas Wallace</v>
      </c>
      <c r="N462" s="4" t="str">
        <f t="shared" si="45"/>
        <v>General</v>
      </c>
      <c r="O462" s="6">
        <f t="shared" si="46"/>
        <v>88.29</v>
      </c>
      <c r="P462" s="4" t="str">
        <f t="shared" si="47"/>
        <v>No</v>
      </c>
      <c r="Q462" s="4" t="str">
        <f>IF(OR(A462="",C462="",L462="Missing",M462="Missing",O462="0.00",K462="Missing"),"Review","OK")</f>
        <v>OK</v>
      </c>
    </row>
    <row r="463" spans="1:17" x14ac:dyDescent="0.3">
      <c r="A463">
        <v>1021</v>
      </c>
      <c r="B463" t="s">
        <v>1492</v>
      </c>
      <c r="C463">
        <v>53</v>
      </c>
      <c r="D463" t="s">
        <v>76</v>
      </c>
      <c r="E463" s="3">
        <v>46069</v>
      </c>
      <c r="F463" s="3">
        <v>45751</v>
      </c>
      <c r="G463" t="s">
        <v>1493</v>
      </c>
      <c r="H463" t="s">
        <v>25</v>
      </c>
      <c r="I463" t="s">
        <v>1494</v>
      </c>
      <c r="J463" t="s">
        <v>21</v>
      </c>
      <c r="K463" t="str">
        <f t="shared" si="42"/>
        <v>Kelly Ayers</v>
      </c>
      <c r="L463" t="str">
        <f t="shared" si="43"/>
        <v>Male</v>
      </c>
      <c r="M463" t="str">
        <f t="shared" si="44"/>
        <v>Justin Taylor</v>
      </c>
      <c r="N463" s="4" t="str">
        <f t="shared" si="45"/>
        <v>Neurology</v>
      </c>
      <c r="O463" s="6">
        <f t="shared" si="46"/>
        <v>443.75</v>
      </c>
      <c r="P463" s="4" t="str">
        <f t="shared" si="47"/>
        <v>Yes</v>
      </c>
      <c r="Q463" s="4" t="str">
        <f>IF(OR(A463="",C463="",L463="Missing",M463="Missing",O463="0.00",K463="Missing"),"Review","OK")</f>
        <v>OK</v>
      </c>
    </row>
    <row r="464" spans="1:17" x14ac:dyDescent="0.3">
      <c r="A464">
        <v>1059</v>
      </c>
      <c r="B464" t="s">
        <v>1495</v>
      </c>
      <c r="C464">
        <v>57</v>
      </c>
      <c r="D464" t="s">
        <v>23</v>
      </c>
      <c r="E464" s="3">
        <v>45896</v>
      </c>
      <c r="F464" s="3">
        <v>45387</v>
      </c>
      <c r="G464" t="s">
        <v>1496</v>
      </c>
      <c r="H464" t="s">
        <v>13</v>
      </c>
      <c r="I464" t="s">
        <v>1497</v>
      </c>
      <c r="J464" t="s">
        <v>39</v>
      </c>
      <c r="K464" t="str">
        <f t="shared" si="42"/>
        <v>James Perry</v>
      </c>
      <c r="L464" t="str">
        <f t="shared" si="43"/>
        <v>Male</v>
      </c>
      <c r="M464" t="str">
        <f t="shared" si="44"/>
        <v>Leonard Campbell</v>
      </c>
      <c r="N464" s="4" t="str">
        <f t="shared" si="45"/>
        <v>Cardiology</v>
      </c>
      <c r="O464" s="6">
        <f t="shared" si="46"/>
        <v>385.61</v>
      </c>
      <c r="P464" s="4" t="str">
        <f t="shared" si="47"/>
        <v>Yes</v>
      </c>
      <c r="Q464" s="4" t="str">
        <f>IF(OR(A464="",C464="",L464="Missing",M464="Missing",O464="0.00",K464="Missing"),"Review","OK")</f>
        <v>OK</v>
      </c>
    </row>
    <row r="465" spans="1:17" x14ac:dyDescent="0.3">
      <c r="A465">
        <v>1038</v>
      </c>
      <c r="B465" t="s">
        <v>1498</v>
      </c>
      <c r="C465">
        <v>19</v>
      </c>
      <c r="D465" t="s">
        <v>41</v>
      </c>
      <c r="E465" s="3">
        <v>45790</v>
      </c>
      <c r="F465" s="3">
        <v>45491</v>
      </c>
      <c r="G465" t="s">
        <v>1499</v>
      </c>
      <c r="H465" t="s">
        <v>13</v>
      </c>
      <c r="I465" t="s">
        <v>1500</v>
      </c>
      <c r="J465" t="s">
        <v>21</v>
      </c>
      <c r="K465" t="str">
        <f t="shared" si="42"/>
        <v>Steven Phelps</v>
      </c>
      <c r="L465" t="str">
        <f t="shared" si="43"/>
        <v>Female</v>
      </c>
      <c r="M465" t="str">
        <f t="shared" si="44"/>
        <v>Darren Williams</v>
      </c>
      <c r="N465" s="4" t="str">
        <f t="shared" si="45"/>
        <v>Cardiology</v>
      </c>
      <c r="O465" s="6">
        <f t="shared" si="46"/>
        <v>350.5</v>
      </c>
      <c r="P465" s="4" t="str">
        <f t="shared" si="47"/>
        <v>Yes</v>
      </c>
      <c r="Q465" s="4" t="str">
        <f>IF(OR(A465="",C465="",L465="Missing",M465="Missing",O465="0.00",K465="Missing"),"Review","OK")</f>
        <v>OK</v>
      </c>
    </row>
    <row r="466" spans="1:17" x14ac:dyDescent="0.3">
      <c r="A466">
        <v>1065</v>
      </c>
      <c r="B466" t="s">
        <v>1501</v>
      </c>
      <c r="C466">
        <v>75</v>
      </c>
      <c r="D466" t="s">
        <v>23</v>
      </c>
      <c r="E466" s="3">
        <v>46005</v>
      </c>
      <c r="F466" s="3">
        <v>45442</v>
      </c>
      <c r="G466" t="s">
        <v>1502</v>
      </c>
      <c r="H466" t="s">
        <v>19</v>
      </c>
      <c r="I466" t="s">
        <v>1503</v>
      </c>
      <c r="J466">
        <v>1</v>
      </c>
      <c r="K466" t="str">
        <f t="shared" si="42"/>
        <v>Mark Daniels</v>
      </c>
      <c r="L466" t="str">
        <f t="shared" si="43"/>
        <v>Male</v>
      </c>
      <c r="M466" t="str">
        <f t="shared" si="44"/>
        <v>Kimberly Pierce</v>
      </c>
      <c r="N466" s="4" t="str">
        <f t="shared" si="45"/>
        <v>Orthopedics</v>
      </c>
      <c r="O466" s="6">
        <f t="shared" si="46"/>
        <v>255.56</v>
      </c>
      <c r="P466" s="4" t="str">
        <f t="shared" si="47"/>
        <v>Yes</v>
      </c>
      <c r="Q466" s="4" t="str">
        <f>IF(OR(A466="",C466="",L466="Missing",M466="Missing",O466="0.00",K466="Missing"),"Review","OK")</f>
        <v>OK</v>
      </c>
    </row>
    <row r="467" spans="1:17" x14ac:dyDescent="0.3">
      <c r="A467">
        <v>1031</v>
      </c>
      <c r="B467" t="s">
        <v>1504</v>
      </c>
      <c r="C467">
        <v>33</v>
      </c>
      <c r="D467">
        <v>1</v>
      </c>
      <c r="E467" s="3">
        <v>45913</v>
      </c>
      <c r="F467" s="3">
        <v>45475</v>
      </c>
      <c r="G467" t="s">
        <v>1505</v>
      </c>
      <c r="H467" t="s">
        <v>19</v>
      </c>
      <c r="I467" t="s">
        <v>1506</v>
      </c>
      <c r="J467">
        <v>1</v>
      </c>
      <c r="K467" t="str">
        <f t="shared" si="42"/>
        <v>Zachary Williams</v>
      </c>
      <c r="L467" t="str">
        <f t="shared" si="43"/>
        <v>Female</v>
      </c>
      <c r="M467" t="str">
        <f t="shared" si="44"/>
        <v>Selena Brown</v>
      </c>
      <c r="N467" s="4" t="str">
        <f t="shared" si="45"/>
        <v>Orthopedics</v>
      </c>
      <c r="O467" s="6">
        <f t="shared" si="46"/>
        <v>458.83</v>
      </c>
      <c r="P467" s="4" t="str">
        <f t="shared" si="47"/>
        <v>Yes</v>
      </c>
      <c r="Q467" s="4" t="str">
        <f>IF(OR(A467="",C467="",L467="Missing",M467="Missing",O467="0.00",K467="Missing"),"Review","OK")</f>
        <v>OK</v>
      </c>
    </row>
    <row r="468" spans="1:17" x14ac:dyDescent="0.3">
      <c r="A468">
        <v>1018</v>
      </c>
      <c r="B468" t="s">
        <v>1507</v>
      </c>
      <c r="C468">
        <v>20</v>
      </c>
      <c r="D468" t="s">
        <v>41</v>
      </c>
      <c r="E468" s="3">
        <v>45861</v>
      </c>
      <c r="F468" s="3">
        <v>45830</v>
      </c>
      <c r="G468" t="s">
        <v>1508</v>
      </c>
      <c r="H468" t="s">
        <v>25</v>
      </c>
      <c r="I468" t="s">
        <v>1509</v>
      </c>
      <c r="J468" t="s">
        <v>65</v>
      </c>
      <c r="K468" t="str">
        <f t="shared" si="42"/>
        <v>Carly Ford</v>
      </c>
      <c r="L468" t="str">
        <f t="shared" si="43"/>
        <v>Female</v>
      </c>
      <c r="M468" t="str">
        <f t="shared" si="44"/>
        <v>Scott Tran</v>
      </c>
      <c r="N468" s="4" t="str">
        <f t="shared" si="45"/>
        <v>Neurology</v>
      </c>
      <c r="O468" s="6">
        <f t="shared" si="46"/>
        <v>138.29</v>
      </c>
      <c r="P468" s="4" t="str">
        <f t="shared" si="47"/>
        <v>No</v>
      </c>
      <c r="Q468" s="4" t="str">
        <f>IF(OR(A468="",C468="",L468="Missing",M468="Missing",O468="0.00",K468="Missing"),"Review","OK")</f>
        <v>OK</v>
      </c>
    </row>
    <row r="469" spans="1:17" x14ac:dyDescent="0.3">
      <c r="A469">
        <v>1081</v>
      </c>
      <c r="B469" t="s">
        <v>1510</v>
      </c>
      <c r="C469">
        <v>42</v>
      </c>
      <c r="D469" t="s">
        <v>41</v>
      </c>
      <c r="E469" s="3">
        <v>46096</v>
      </c>
      <c r="F469" s="3" t="s">
        <v>1511</v>
      </c>
      <c r="G469" t="s">
        <v>1512</v>
      </c>
      <c r="H469" t="s">
        <v>13</v>
      </c>
      <c r="I469" t="s">
        <v>1513</v>
      </c>
      <c r="J469" t="s">
        <v>39</v>
      </c>
      <c r="K469" t="str">
        <f t="shared" si="42"/>
        <v>Elaine Williams</v>
      </c>
      <c r="L469" t="str">
        <f t="shared" si="43"/>
        <v>Female</v>
      </c>
      <c r="M469" t="str">
        <f t="shared" si="44"/>
        <v>Daniel Carlson</v>
      </c>
      <c r="N469" s="4" t="str">
        <f t="shared" si="45"/>
        <v>Cardiology</v>
      </c>
      <c r="O469" s="6">
        <f t="shared" si="46"/>
        <v>189.02</v>
      </c>
      <c r="P469" s="4" t="str">
        <f t="shared" si="47"/>
        <v>Yes</v>
      </c>
      <c r="Q469" s="4" t="str">
        <f>IF(OR(A469="",C469="",L469="Missing",M469="Missing",O469="0.00",K469="Missing"),"Review","OK")</f>
        <v>OK</v>
      </c>
    </row>
    <row r="470" spans="1:17" x14ac:dyDescent="0.3">
      <c r="A470">
        <v>1098</v>
      </c>
      <c r="B470" t="s">
        <v>1514</v>
      </c>
      <c r="C470">
        <v>27</v>
      </c>
      <c r="D470">
        <v>0</v>
      </c>
      <c r="E470" s="3">
        <v>45883</v>
      </c>
      <c r="F470" s="3">
        <v>45628</v>
      </c>
      <c r="G470" t="s">
        <v>1515</v>
      </c>
      <c r="H470" t="s">
        <v>19</v>
      </c>
      <c r="I470" t="s">
        <v>1516</v>
      </c>
      <c r="J470" t="s">
        <v>31</v>
      </c>
      <c r="K470" t="str">
        <f t="shared" si="42"/>
        <v>Randy Wright</v>
      </c>
      <c r="L470" t="str">
        <f t="shared" si="43"/>
        <v>Male</v>
      </c>
      <c r="M470" t="str">
        <f t="shared" si="44"/>
        <v>Jennifer Banks</v>
      </c>
      <c r="N470" s="4" t="str">
        <f t="shared" si="45"/>
        <v>Orthopedics</v>
      </c>
      <c r="O470" s="6">
        <f t="shared" si="46"/>
        <v>272.47000000000003</v>
      </c>
      <c r="P470" s="4" t="str">
        <f t="shared" si="47"/>
        <v>No</v>
      </c>
      <c r="Q470" s="4" t="str">
        <f>IF(OR(A470="",C470="",L470="Missing",M470="Missing",O470="0.00",K470="Missing"),"Review","OK")</f>
        <v>OK</v>
      </c>
    </row>
    <row r="471" spans="1:17" x14ac:dyDescent="0.3">
      <c r="A471">
        <v>1070</v>
      </c>
      <c r="B471" t="s">
        <v>1517</v>
      </c>
      <c r="C471">
        <v>56</v>
      </c>
      <c r="D471" t="s">
        <v>76</v>
      </c>
      <c r="E471" s="3">
        <v>45919</v>
      </c>
      <c r="F471" s="3">
        <v>45563</v>
      </c>
      <c r="G471" t="s">
        <v>1518</v>
      </c>
      <c r="H471" t="s">
        <v>13</v>
      </c>
      <c r="I471" t="s">
        <v>1519</v>
      </c>
      <c r="J471" t="s">
        <v>21</v>
      </c>
      <c r="K471" t="str">
        <f t="shared" si="42"/>
        <v>Charles Foley</v>
      </c>
      <c r="L471" t="str">
        <f t="shared" si="43"/>
        <v>Male</v>
      </c>
      <c r="M471" t="str">
        <f t="shared" si="44"/>
        <v>Richard Arias</v>
      </c>
      <c r="N471" s="4" t="str">
        <f t="shared" si="45"/>
        <v>Cardiology</v>
      </c>
      <c r="O471" s="6">
        <f t="shared" si="46"/>
        <v>450.37</v>
      </c>
      <c r="P471" s="4" t="str">
        <f t="shared" si="47"/>
        <v>Yes</v>
      </c>
      <c r="Q471" s="4" t="str">
        <f>IF(OR(A471="",C471="",L471="Missing",M471="Missing",O471="0.00",K471="Missing"),"Review","OK")</f>
        <v>OK</v>
      </c>
    </row>
    <row r="472" spans="1:17" x14ac:dyDescent="0.3">
      <c r="A472">
        <v>1093</v>
      </c>
      <c r="B472" t="s">
        <v>1520</v>
      </c>
      <c r="C472">
        <v>81</v>
      </c>
      <c r="D472">
        <v>0</v>
      </c>
      <c r="E472" s="3">
        <v>46060</v>
      </c>
      <c r="F472" s="3">
        <v>45470</v>
      </c>
      <c r="G472" t="s">
        <v>1521</v>
      </c>
      <c r="H472" t="s">
        <v>29</v>
      </c>
      <c r="I472" t="s">
        <v>1522</v>
      </c>
      <c r="J472" t="s">
        <v>39</v>
      </c>
      <c r="K472" t="str">
        <f t="shared" si="42"/>
        <v>Ryan Kennedy</v>
      </c>
      <c r="L472" t="str">
        <f t="shared" si="43"/>
        <v>Male</v>
      </c>
      <c r="M472" t="str">
        <f t="shared" si="44"/>
        <v>Scott Shannon</v>
      </c>
      <c r="N472" s="4" t="str">
        <f t="shared" si="45"/>
        <v>General</v>
      </c>
      <c r="O472" s="6">
        <f t="shared" si="46"/>
        <v>490.67</v>
      </c>
      <c r="P472" s="4" t="str">
        <f t="shared" si="47"/>
        <v>Yes</v>
      </c>
      <c r="Q472" s="4" t="str">
        <f>IF(OR(A472="",C472="",L472="Missing",M472="Missing",O472="0.00",K472="Missing"),"Review","OK")</f>
        <v>OK</v>
      </c>
    </row>
    <row r="473" spans="1:17" x14ac:dyDescent="0.3">
      <c r="A473">
        <v>1032</v>
      </c>
      <c r="B473" t="s">
        <v>1523</v>
      </c>
      <c r="C473">
        <v>56</v>
      </c>
      <c r="D473">
        <v>1</v>
      </c>
      <c r="E473" s="3">
        <v>45927</v>
      </c>
      <c r="F473" s="3">
        <v>45693</v>
      </c>
      <c r="G473" t="s">
        <v>1524</v>
      </c>
      <c r="H473" t="s">
        <v>13</v>
      </c>
      <c r="I473" t="s">
        <v>1525</v>
      </c>
      <c r="J473" t="s">
        <v>31</v>
      </c>
      <c r="K473" t="str">
        <f t="shared" si="42"/>
        <v>Stephen Cox</v>
      </c>
      <c r="L473" t="str">
        <f t="shared" si="43"/>
        <v>Female</v>
      </c>
      <c r="M473" t="str">
        <f t="shared" si="44"/>
        <v>Joseph King</v>
      </c>
      <c r="N473" s="4" t="str">
        <f t="shared" si="45"/>
        <v>Cardiology</v>
      </c>
      <c r="O473" s="6">
        <f t="shared" si="46"/>
        <v>99.17</v>
      </c>
      <c r="P473" s="4" t="str">
        <f t="shared" si="47"/>
        <v>No</v>
      </c>
      <c r="Q473" s="4" t="str">
        <f>IF(OR(A473="",C473="",L473="Missing",M473="Missing",O473="0.00",K473="Missing"),"Review","OK")</f>
        <v>OK</v>
      </c>
    </row>
    <row r="474" spans="1:17" x14ac:dyDescent="0.3">
      <c r="A474">
        <v>1071</v>
      </c>
      <c r="B474" t="s">
        <v>1526</v>
      </c>
      <c r="C474">
        <v>80</v>
      </c>
      <c r="D474">
        <v>0</v>
      </c>
      <c r="E474" s="3">
        <v>45867</v>
      </c>
      <c r="F474" s="3" t="s">
        <v>1055</v>
      </c>
      <c r="G474" t="s">
        <v>1527</v>
      </c>
      <c r="H474" t="s">
        <v>25</v>
      </c>
      <c r="I474" t="s">
        <v>1528</v>
      </c>
      <c r="J474" t="s">
        <v>31</v>
      </c>
      <c r="K474" t="str">
        <f t="shared" si="42"/>
        <v>Jennifer Jackson</v>
      </c>
      <c r="L474" t="str">
        <f t="shared" si="43"/>
        <v>Male</v>
      </c>
      <c r="M474" t="str">
        <f t="shared" si="44"/>
        <v>Frank Harrell</v>
      </c>
      <c r="N474" s="4" t="str">
        <f t="shared" si="45"/>
        <v>Neurology</v>
      </c>
      <c r="O474" s="6">
        <f t="shared" si="46"/>
        <v>105.64</v>
      </c>
      <c r="P474" s="4" t="str">
        <f t="shared" si="47"/>
        <v>No</v>
      </c>
      <c r="Q474" s="4" t="str">
        <f>IF(OR(A474="",C474="",L474="Missing",M474="Missing",O474="0.00",K474="Missing"),"Review","OK")</f>
        <v>OK</v>
      </c>
    </row>
    <row r="475" spans="1:17" x14ac:dyDescent="0.3">
      <c r="A475">
        <v>1067</v>
      </c>
      <c r="B475" t="s">
        <v>1529</v>
      </c>
      <c r="C475">
        <v>72</v>
      </c>
      <c r="D475">
        <v>0</v>
      </c>
      <c r="E475" s="3" t="s">
        <v>1530</v>
      </c>
      <c r="F475" s="3">
        <v>45486</v>
      </c>
      <c r="G475" t="s">
        <v>1531</v>
      </c>
      <c r="H475" t="s">
        <v>19</v>
      </c>
      <c r="I475" t="s">
        <v>1532</v>
      </c>
      <c r="J475" t="s">
        <v>65</v>
      </c>
      <c r="K475" t="str">
        <f t="shared" si="42"/>
        <v>Jessica Wilson</v>
      </c>
      <c r="L475" t="str">
        <f t="shared" si="43"/>
        <v>Male</v>
      </c>
      <c r="M475" t="str">
        <f t="shared" si="44"/>
        <v>Sharon Nash</v>
      </c>
      <c r="N475" s="4" t="str">
        <f t="shared" si="45"/>
        <v>Orthopedics</v>
      </c>
      <c r="O475" s="6">
        <f t="shared" si="46"/>
        <v>437.18</v>
      </c>
      <c r="P475" s="4" t="str">
        <f t="shared" si="47"/>
        <v>No</v>
      </c>
      <c r="Q475" s="4" t="str">
        <f>IF(OR(A475="",C475="",L475="Missing",M475="Missing",O475="0.00",K475="Missing"),"Review","OK")</f>
        <v>OK</v>
      </c>
    </row>
    <row r="476" spans="1:17" x14ac:dyDescent="0.3">
      <c r="A476">
        <v>1090</v>
      </c>
      <c r="B476" t="s">
        <v>1533</v>
      </c>
      <c r="C476">
        <v>37</v>
      </c>
      <c r="D476" t="s">
        <v>23</v>
      </c>
      <c r="E476" s="3">
        <v>46081</v>
      </c>
      <c r="F476" s="3">
        <v>45400</v>
      </c>
      <c r="G476" t="s">
        <v>1534</v>
      </c>
      <c r="H476" t="s">
        <v>29</v>
      </c>
      <c r="I476" t="s">
        <v>1535</v>
      </c>
      <c r="J476">
        <v>0</v>
      </c>
      <c r="K476" t="str">
        <f t="shared" si="42"/>
        <v>Brittany Wall</v>
      </c>
      <c r="L476" t="str">
        <f t="shared" si="43"/>
        <v>Male</v>
      </c>
      <c r="M476" t="str">
        <f t="shared" si="44"/>
        <v>Willie Dean</v>
      </c>
      <c r="N476" s="4" t="str">
        <f t="shared" si="45"/>
        <v>General</v>
      </c>
      <c r="O476" s="6">
        <f t="shared" si="46"/>
        <v>77.2</v>
      </c>
      <c r="P476" s="4" t="str">
        <f t="shared" si="47"/>
        <v>No</v>
      </c>
      <c r="Q476" s="4" t="str">
        <f>IF(OR(A476="",C476="",L476="Missing",M476="Missing",O476="0.00",K476="Missing"),"Review","OK")</f>
        <v>OK</v>
      </c>
    </row>
    <row r="477" spans="1:17" x14ac:dyDescent="0.3">
      <c r="A477">
        <v>1027</v>
      </c>
      <c r="B477" t="s">
        <v>1536</v>
      </c>
      <c r="C477">
        <v>81</v>
      </c>
      <c r="D477" t="s">
        <v>41</v>
      </c>
      <c r="E477" s="3">
        <v>46021</v>
      </c>
      <c r="F477" s="3">
        <v>45901</v>
      </c>
      <c r="G477" t="s">
        <v>1537</v>
      </c>
      <c r="H477" t="s">
        <v>29</v>
      </c>
      <c r="I477" t="s">
        <v>1538</v>
      </c>
      <c r="J477">
        <v>0</v>
      </c>
      <c r="K477" t="str">
        <f t="shared" si="42"/>
        <v>Diane Adams</v>
      </c>
      <c r="L477" t="str">
        <f t="shared" si="43"/>
        <v>Female</v>
      </c>
      <c r="M477" t="str">
        <f t="shared" si="44"/>
        <v>Andrew Carroll</v>
      </c>
      <c r="N477" s="4" t="str">
        <f t="shared" si="45"/>
        <v>General</v>
      </c>
      <c r="O477" s="6">
        <f t="shared" si="46"/>
        <v>118.72</v>
      </c>
      <c r="P477" s="4" t="str">
        <f t="shared" si="47"/>
        <v>No</v>
      </c>
      <c r="Q477" s="4" t="str">
        <f>IF(OR(A477="",C477="",L477="Missing",M477="Missing",O477="0.00",K477="Missing"),"Review","OK")</f>
        <v>OK</v>
      </c>
    </row>
    <row r="478" spans="1:17" x14ac:dyDescent="0.3">
      <c r="A478">
        <v>1073</v>
      </c>
      <c r="B478" t="s">
        <v>1539</v>
      </c>
      <c r="C478">
        <v>52</v>
      </c>
      <c r="D478" t="s">
        <v>56</v>
      </c>
      <c r="E478" s="3">
        <v>46098</v>
      </c>
      <c r="F478" s="3">
        <v>45950</v>
      </c>
      <c r="G478" t="s">
        <v>1540</v>
      </c>
      <c r="H478" t="s">
        <v>25</v>
      </c>
      <c r="I478" t="s">
        <v>1541</v>
      </c>
      <c r="J478" t="s">
        <v>21</v>
      </c>
      <c r="K478" t="str">
        <f t="shared" si="42"/>
        <v>Shawn Moon</v>
      </c>
      <c r="L478" t="str">
        <f t="shared" si="43"/>
        <v>Male</v>
      </c>
      <c r="M478" t="str">
        <f t="shared" si="44"/>
        <v>Sheila Williams</v>
      </c>
      <c r="N478" s="4" t="str">
        <f t="shared" si="45"/>
        <v>Neurology</v>
      </c>
      <c r="O478" s="6">
        <f t="shared" si="46"/>
        <v>155.69</v>
      </c>
      <c r="P478" s="4" t="str">
        <f t="shared" si="47"/>
        <v>Yes</v>
      </c>
      <c r="Q478" s="4" t="str">
        <f>IF(OR(A478="",C478="",L478="Missing",M478="Missing",O478="0.00",K478="Missing"),"Review","OK")</f>
        <v>OK</v>
      </c>
    </row>
    <row r="479" spans="1:17" x14ac:dyDescent="0.3">
      <c r="A479">
        <v>1092</v>
      </c>
      <c r="B479" t="s">
        <v>1542</v>
      </c>
      <c r="C479">
        <v>79</v>
      </c>
      <c r="D479">
        <v>1</v>
      </c>
      <c r="E479" s="3">
        <v>45909</v>
      </c>
      <c r="F479" s="3">
        <v>45690</v>
      </c>
      <c r="G479" t="s">
        <v>1543</v>
      </c>
      <c r="H479" t="s">
        <v>25</v>
      </c>
      <c r="I479" t="s">
        <v>1544</v>
      </c>
      <c r="J479" t="s">
        <v>65</v>
      </c>
      <c r="K479" t="str">
        <f t="shared" si="42"/>
        <v>Sharon Lopez</v>
      </c>
      <c r="L479" t="str">
        <f t="shared" si="43"/>
        <v>Female</v>
      </c>
      <c r="M479" t="str">
        <f t="shared" si="44"/>
        <v>Yolanda Richardson</v>
      </c>
      <c r="N479" s="4" t="str">
        <f t="shared" si="45"/>
        <v>Neurology</v>
      </c>
      <c r="O479" s="6">
        <f t="shared" si="46"/>
        <v>487.57</v>
      </c>
      <c r="P479" s="4" t="str">
        <f t="shared" si="47"/>
        <v>No</v>
      </c>
      <c r="Q479" s="4" t="str">
        <f>IF(OR(A479="",C479="",L479="Missing",M479="Missing",O479="0.00",K479="Missing"),"Review","OK")</f>
        <v>OK</v>
      </c>
    </row>
    <row r="480" spans="1:17" x14ac:dyDescent="0.3">
      <c r="A480">
        <v>1083</v>
      </c>
      <c r="B480" t="s">
        <v>1545</v>
      </c>
      <c r="C480">
        <v>56</v>
      </c>
      <c r="D480" t="s">
        <v>16</v>
      </c>
      <c r="E480" s="3">
        <v>45979</v>
      </c>
      <c r="F480" s="3">
        <v>45695</v>
      </c>
      <c r="G480" t="s">
        <v>1546</v>
      </c>
      <c r="H480" t="s">
        <v>13</v>
      </c>
      <c r="I480" t="s">
        <v>1547</v>
      </c>
      <c r="J480">
        <v>0</v>
      </c>
      <c r="K480" t="str">
        <f t="shared" si="42"/>
        <v>Timothy Ramirez</v>
      </c>
      <c r="L480" t="str">
        <f t="shared" si="43"/>
        <v>Female</v>
      </c>
      <c r="M480" t="str">
        <f t="shared" si="44"/>
        <v>Tiffany Shepherd</v>
      </c>
      <c r="N480" s="4" t="str">
        <f t="shared" si="45"/>
        <v>Cardiology</v>
      </c>
      <c r="O480" s="6">
        <f t="shared" si="46"/>
        <v>412.44</v>
      </c>
      <c r="P480" s="4" t="str">
        <f t="shared" si="47"/>
        <v>No</v>
      </c>
      <c r="Q480" s="4" t="str">
        <f>IF(OR(A480="",C480="",L480="Missing",M480="Missing",O480="0.00",K480="Missing"),"Review","OK")</f>
        <v>OK</v>
      </c>
    </row>
    <row r="481" spans="1:17" x14ac:dyDescent="0.3">
      <c r="A481">
        <v>1091</v>
      </c>
      <c r="B481" t="s">
        <v>1548</v>
      </c>
      <c r="C481">
        <v>74</v>
      </c>
      <c r="D481" t="s">
        <v>76</v>
      </c>
      <c r="E481" s="3">
        <v>46002</v>
      </c>
      <c r="F481" s="3">
        <v>45770</v>
      </c>
      <c r="G481" t="s">
        <v>1549</v>
      </c>
      <c r="H481" t="s">
        <v>13</v>
      </c>
      <c r="I481" t="s">
        <v>1550</v>
      </c>
      <c r="J481" t="s">
        <v>21</v>
      </c>
      <c r="K481" t="str">
        <f t="shared" si="42"/>
        <v>Daniel Marshall</v>
      </c>
      <c r="L481" t="str">
        <f t="shared" si="43"/>
        <v>Male</v>
      </c>
      <c r="M481" t="str">
        <f t="shared" si="44"/>
        <v>Lisa Taylor</v>
      </c>
      <c r="N481" s="4" t="str">
        <f t="shared" si="45"/>
        <v>Cardiology</v>
      </c>
      <c r="O481" s="6">
        <f t="shared" si="46"/>
        <v>297.5</v>
      </c>
      <c r="P481" s="4" t="str">
        <f t="shared" si="47"/>
        <v>Yes</v>
      </c>
      <c r="Q481" s="4" t="str">
        <f>IF(OR(A481="",C481="",L481="Missing",M481="Missing",O481="0.00",K481="Missing"),"Review","OK")</f>
        <v>OK</v>
      </c>
    </row>
    <row r="482" spans="1:17" x14ac:dyDescent="0.3">
      <c r="A482">
        <v>1057</v>
      </c>
      <c r="B482" t="s">
        <v>1551</v>
      </c>
      <c r="C482">
        <v>60</v>
      </c>
      <c r="D482" t="s">
        <v>41</v>
      </c>
      <c r="E482" s="3">
        <v>46048</v>
      </c>
      <c r="F482" s="3">
        <v>45565</v>
      </c>
      <c r="G482" t="s">
        <v>1552</v>
      </c>
      <c r="H482" t="s">
        <v>29</v>
      </c>
      <c r="I482" t="s">
        <v>1553</v>
      </c>
      <c r="J482" t="s">
        <v>39</v>
      </c>
      <c r="K482" t="str">
        <f t="shared" si="42"/>
        <v>Andre Pitts</v>
      </c>
      <c r="L482" t="str">
        <f t="shared" si="43"/>
        <v>Female</v>
      </c>
      <c r="M482" t="str">
        <f t="shared" si="44"/>
        <v>Donna Sandoval</v>
      </c>
      <c r="N482" s="4" t="str">
        <f t="shared" si="45"/>
        <v>General</v>
      </c>
      <c r="O482" s="6">
        <f t="shared" si="46"/>
        <v>481.4</v>
      </c>
      <c r="P482" s="4" t="str">
        <f t="shared" si="47"/>
        <v>Yes</v>
      </c>
      <c r="Q482" s="4" t="str">
        <f>IF(OR(A482="",C482="",L482="Missing",M482="Missing",O482="0.00",K482="Missing"),"Review","OK")</f>
        <v>OK</v>
      </c>
    </row>
    <row r="483" spans="1:17" x14ac:dyDescent="0.3">
      <c r="A483">
        <v>1018</v>
      </c>
      <c r="B483" t="s">
        <v>1554</v>
      </c>
      <c r="C483">
        <v>54</v>
      </c>
      <c r="D483" t="s">
        <v>23</v>
      </c>
      <c r="E483" s="3">
        <v>45951</v>
      </c>
      <c r="F483" s="3">
        <v>45965</v>
      </c>
      <c r="G483" t="s">
        <v>1555</v>
      </c>
      <c r="H483" t="s">
        <v>29</v>
      </c>
      <c r="I483" t="s">
        <v>1556</v>
      </c>
      <c r="J483" t="s">
        <v>21</v>
      </c>
      <c r="K483" t="str">
        <f t="shared" si="42"/>
        <v>Mary Garcia</v>
      </c>
      <c r="L483" t="str">
        <f t="shared" si="43"/>
        <v>Male</v>
      </c>
      <c r="M483" t="str">
        <f t="shared" si="44"/>
        <v>Brianna Ortega</v>
      </c>
      <c r="N483" s="4" t="str">
        <f t="shared" si="45"/>
        <v>General</v>
      </c>
      <c r="O483" s="6">
        <f t="shared" si="46"/>
        <v>252.53</v>
      </c>
      <c r="P483" s="4" t="str">
        <f t="shared" si="47"/>
        <v>Yes</v>
      </c>
      <c r="Q483" s="4" t="str">
        <f>IF(OR(A483="",C483="",L483="Missing",M483="Missing",O483="0.00",K483="Missing"),"Review","OK")</f>
        <v>OK</v>
      </c>
    </row>
    <row r="484" spans="1:17" x14ac:dyDescent="0.3">
      <c r="A484">
        <v>1002</v>
      </c>
      <c r="B484" t="s">
        <v>1557</v>
      </c>
      <c r="C484">
        <v>89</v>
      </c>
      <c r="D484" t="s">
        <v>16</v>
      </c>
      <c r="E484" s="3">
        <v>45907</v>
      </c>
      <c r="F484" s="3">
        <v>45660</v>
      </c>
      <c r="G484" t="s">
        <v>1558</v>
      </c>
      <c r="H484" t="s">
        <v>25</v>
      </c>
      <c r="I484" t="s">
        <v>1559</v>
      </c>
      <c r="J484" t="s">
        <v>39</v>
      </c>
      <c r="K484" t="str">
        <f t="shared" si="42"/>
        <v>Lawrence Ford</v>
      </c>
      <c r="L484" t="str">
        <f t="shared" si="43"/>
        <v>Female</v>
      </c>
      <c r="M484" t="str">
        <f t="shared" si="44"/>
        <v>Randall Watts</v>
      </c>
      <c r="N484" s="4" t="str">
        <f t="shared" si="45"/>
        <v>Neurology</v>
      </c>
      <c r="O484" s="6">
        <f t="shared" si="46"/>
        <v>167.8</v>
      </c>
      <c r="P484" s="4" t="str">
        <f t="shared" si="47"/>
        <v>Yes</v>
      </c>
      <c r="Q484" s="4" t="str">
        <f>IF(OR(A484="",C484="",L484="Missing",M484="Missing",O484="0.00",K484="Missing"),"Review","OK")</f>
        <v>OK</v>
      </c>
    </row>
    <row r="485" spans="1:17" x14ac:dyDescent="0.3">
      <c r="A485">
        <v>1084</v>
      </c>
      <c r="B485" t="s">
        <v>1560</v>
      </c>
      <c r="C485">
        <v>84</v>
      </c>
      <c r="D485">
        <v>0</v>
      </c>
      <c r="E485" s="3">
        <v>45801</v>
      </c>
      <c r="F485" s="3">
        <v>45422</v>
      </c>
      <c r="G485" t="s">
        <v>1561</v>
      </c>
      <c r="H485" t="s">
        <v>29</v>
      </c>
      <c r="I485" t="s">
        <v>1562</v>
      </c>
      <c r="J485">
        <v>1</v>
      </c>
      <c r="K485" t="str">
        <f t="shared" si="42"/>
        <v>Monica Mcclure</v>
      </c>
      <c r="L485" t="str">
        <f t="shared" si="43"/>
        <v>Male</v>
      </c>
      <c r="M485" t="str">
        <f t="shared" si="44"/>
        <v>Martha Byrd</v>
      </c>
      <c r="N485" s="4" t="str">
        <f t="shared" si="45"/>
        <v>General</v>
      </c>
      <c r="O485" s="6">
        <f t="shared" si="46"/>
        <v>347.94</v>
      </c>
      <c r="P485" s="4" t="str">
        <f t="shared" si="47"/>
        <v>Yes</v>
      </c>
      <c r="Q485" s="4" t="str">
        <f>IF(OR(A485="",C485="",L485="Missing",M485="Missing",O485="0.00",K485="Missing"),"Review","OK")</f>
        <v>OK</v>
      </c>
    </row>
    <row r="486" spans="1:17" x14ac:dyDescent="0.3">
      <c r="A486">
        <v>1005</v>
      </c>
      <c r="B486" t="s">
        <v>1563</v>
      </c>
      <c r="C486">
        <v>80</v>
      </c>
      <c r="D486">
        <v>0</v>
      </c>
      <c r="E486" s="3">
        <v>45793</v>
      </c>
      <c r="F486" s="3">
        <v>45609</v>
      </c>
      <c r="G486" t="s">
        <v>1564</v>
      </c>
      <c r="H486" t="s">
        <v>25</v>
      </c>
      <c r="I486" t="s">
        <v>1565</v>
      </c>
      <c r="J486" t="s">
        <v>21</v>
      </c>
      <c r="K486" t="str">
        <f t="shared" si="42"/>
        <v>Troy Richards</v>
      </c>
      <c r="L486" t="str">
        <f t="shared" si="43"/>
        <v>Male</v>
      </c>
      <c r="M486" t="str">
        <f t="shared" si="44"/>
        <v>Thomas Baker</v>
      </c>
      <c r="N486" s="4" t="str">
        <f t="shared" si="45"/>
        <v>Neurology</v>
      </c>
      <c r="O486" s="6">
        <f t="shared" si="46"/>
        <v>305.02</v>
      </c>
      <c r="P486" s="4" t="str">
        <f t="shared" si="47"/>
        <v>Yes</v>
      </c>
      <c r="Q486" s="4" t="str">
        <f>IF(OR(A486="",C486="",L486="Missing",M486="Missing",O486="0.00",K486="Missing"),"Review","OK")</f>
        <v>OK</v>
      </c>
    </row>
    <row r="487" spans="1:17" x14ac:dyDescent="0.3">
      <c r="A487">
        <v>1094</v>
      </c>
      <c r="B487" t="s">
        <v>1566</v>
      </c>
      <c r="C487">
        <v>59</v>
      </c>
      <c r="D487" t="s">
        <v>11</v>
      </c>
      <c r="E487" s="3">
        <v>46079</v>
      </c>
      <c r="F487" s="3">
        <v>45529</v>
      </c>
      <c r="G487" t="s">
        <v>1567</v>
      </c>
      <c r="H487" t="s">
        <v>25</v>
      </c>
      <c r="I487" t="s">
        <v>1568</v>
      </c>
      <c r="J487" t="s">
        <v>31</v>
      </c>
      <c r="K487" t="str">
        <f t="shared" si="42"/>
        <v>Anna Rowe</v>
      </c>
      <c r="L487" t="str">
        <f t="shared" si="43"/>
        <v>Female</v>
      </c>
      <c r="M487" t="str">
        <f t="shared" si="44"/>
        <v>Judith Preston</v>
      </c>
      <c r="N487" s="4" t="str">
        <f t="shared" si="45"/>
        <v>Neurology</v>
      </c>
      <c r="O487" s="6">
        <f t="shared" si="46"/>
        <v>83.61</v>
      </c>
      <c r="P487" s="4" t="str">
        <f t="shared" si="47"/>
        <v>No</v>
      </c>
      <c r="Q487" s="4" t="str">
        <f>IF(OR(A487="",C487="",L487="Missing",M487="Missing",O487="0.00",K487="Missing"),"Review","OK")</f>
        <v>OK</v>
      </c>
    </row>
    <row r="488" spans="1:17" x14ac:dyDescent="0.3">
      <c r="A488">
        <v>1084</v>
      </c>
      <c r="B488" t="s">
        <v>1569</v>
      </c>
      <c r="C488">
        <v>55</v>
      </c>
      <c r="D488" t="s">
        <v>41</v>
      </c>
      <c r="E488" s="3">
        <v>45776</v>
      </c>
      <c r="F488" s="3">
        <v>45632</v>
      </c>
      <c r="G488" t="s">
        <v>1570</v>
      </c>
      <c r="H488" t="s">
        <v>25</v>
      </c>
      <c r="I488" t="s">
        <v>1571</v>
      </c>
      <c r="J488" t="s">
        <v>65</v>
      </c>
      <c r="K488" t="str">
        <f t="shared" si="42"/>
        <v>Michael Espinoza</v>
      </c>
      <c r="L488" t="str">
        <f t="shared" si="43"/>
        <v>Female</v>
      </c>
      <c r="M488" t="str">
        <f t="shared" si="44"/>
        <v>Amber King</v>
      </c>
      <c r="N488" s="4" t="str">
        <f t="shared" si="45"/>
        <v>Neurology</v>
      </c>
      <c r="O488" s="6">
        <f t="shared" si="46"/>
        <v>360.39</v>
      </c>
      <c r="P488" s="4" t="str">
        <f t="shared" si="47"/>
        <v>No</v>
      </c>
      <c r="Q488" s="4" t="str">
        <f>IF(OR(A488="",C488="",L488="Missing",M488="Missing",O488="0.00",K488="Missing"),"Review","OK")</f>
        <v>OK</v>
      </c>
    </row>
    <row r="489" spans="1:17" x14ac:dyDescent="0.3">
      <c r="A489">
        <v>1044</v>
      </c>
      <c r="B489" t="s">
        <v>1572</v>
      </c>
      <c r="C489">
        <v>68</v>
      </c>
      <c r="D489" t="s">
        <v>56</v>
      </c>
      <c r="E489" s="3" t="s">
        <v>809</v>
      </c>
      <c r="F489" s="3">
        <v>45688</v>
      </c>
      <c r="G489" t="s">
        <v>1573</v>
      </c>
      <c r="H489" t="s">
        <v>19</v>
      </c>
      <c r="I489" t="s">
        <v>1574</v>
      </c>
      <c r="J489" t="s">
        <v>39</v>
      </c>
      <c r="K489" t="str">
        <f t="shared" si="42"/>
        <v>Kenneth Dixon</v>
      </c>
      <c r="L489" t="str">
        <f t="shared" si="43"/>
        <v>Male</v>
      </c>
      <c r="M489" t="str">
        <f t="shared" si="44"/>
        <v>Sandra Sloan</v>
      </c>
      <c r="N489" s="4" t="str">
        <f t="shared" si="45"/>
        <v>Orthopedics</v>
      </c>
      <c r="O489" s="6">
        <f t="shared" si="46"/>
        <v>402.4</v>
      </c>
      <c r="P489" s="4" t="str">
        <f t="shared" si="47"/>
        <v>Yes</v>
      </c>
      <c r="Q489" s="4" t="str">
        <f>IF(OR(A489="",C489="",L489="Missing",M489="Missing",O489="0.00",K489="Missing"),"Review","OK")</f>
        <v>OK</v>
      </c>
    </row>
    <row r="490" spans="1:17" x14ac:dyDescent="0.3">
      <c r="A490">
        <v>1067</v>
      </c>
      <c r="B490" t="s">
        <v>1575</v>
      </c>
      <c r="C490">
        <v>60</v>
      </c>
      <c r="D490" t="s">
        <v>76</v>
      </c>
      <c r="E490" s="3">
        <v>45969</v>
      </c>
      <c r="F490" s="3" t="s">
        <v>1576</v>
      </c>
      <c r="G490" t="s">
        <v>1577</v>
      </c>
      <c r="H490" t="s">
        <v>13</v>
      </c>
      <c r="I490" t="s">
        <v>1578</v>
      </c>
      <c r="J490" t="s">
        <v>65</v>
      </c>
      <c r="K490" t="str">
        <f t="shared" si="42"/>
        <v>Justin Ortiz</v>
      </c>
      <c r="L490" t="str">
        <f t="shared" si="43"/>
        <v>Male</v>
      </c>
      <c r="M490" t="str">
        <f t="shared" si="44"/>
        <v>Russell Myers</v>
      </c>
      <c r="N490" s="4" t="str">
        <f t="shared" si="45"/>
        <v>Cardiology</v>
      </c>
      <c r="O490" s="6">
        <f t="shared" si="46"/>
        <v>234.26</v>
      </c>
      <c r="P490" s="4" t="str">
        <f t="shared" si="47"/>
        <v>No</v>
      </c>
      <c r="Q490" s="4" t="str">
        <f>IF(OR(A490="",C490="",L490="Missing",M490="Missing",O490="0.00",K490="Missing"),"Review","OK")</f>
        <v>OK</v>
      </c>
    </row>
    <row r="491" spans="1:17" x14ac:dyDescent="0.3">
      <c r="A491">
        <v>1083</v>
      </c>
      <c r="B491" t="s">
        <v>1579</v>
      </c>
      <c r="C491">
        <v>59</v>
      </c>
      <c r="D491" t="s">
        <v>76</v>
      </c>
      <c r="E491" s="3">
        <v>45918</v>
      </c>
      <c r="F491" s="3">
        <v>45458</v>
      </c>
      <c r="G491" t="s">
        <v>1580</v>
      </c>
      <c r="H491" t="s">
        <v>25</v>
      </c>
      <c r="I491" t="s">
        <v>1581</v>
      </c>
      <c r="J491" t="s">
        <v>21</v>
      </c>
      <c r="K491" t="str">
        <f t="shared" si="42"/>
        <v>Melissa Wagner</v>
      </c>
      <c r="L491" t="str">
        <f t="shared" si="43"/>
        <v>Male</v>
      </c>
      <c r="M491" t="str">
        <f t="shared" si="44"/>
        <v>Megan Garcia</v>
      </c>
      <c r="N491" s="4" t="str">
        <f t="shared" si="45"/>
        <v>Neurology</v>
      </c>
      <c r="O491" s="6">
        <f t="shared" si="46"/>
        <v>219.5</v>
      </c>
      <c r="P491" s="4" t="str">
        <f t="shared" si="47"/>
        <v>Yes</v>
      </c>
      <c r="Q491" s="4" t="str">
        <f>IF(OR(A491="",C491="",L491="Missing",M491="Missing",O491="0.00",K491="Missing"),"Review","OK")</f>
        <v>OK</v>
      </c>
    </row>
    <row r="492" spans="1:17" x14ac:dyDescent="0.3">
      <c r="A492">
        <v>1017</v>
      </c>
      <c r="B492" t="s">
        <v>1582</v>
      </c>
      <c r="C492">
        <v>84</v>
      </c>
      <c r="D492" t="s">
        <v>16</v>
      </c>
      <c r="E492" s="3">
        <v>46058</v>
      </c>
      <c r="F492" s="3">
        <v>45440</v>
      </c>
      <c r="G492" t="s">
        <v>1583</v>
      </c>
      <c r="H492" t="s">
        <v>19</v>
      </c>
      <c r="I492" t="s">
        <v>1584</v>
      </c>
      <c r="J492" t="s">
        <v>65</v>
      </c>
      <c r="K492" t="str">
        <f t="shared" si="42"/>
        <v>Jamie Miller</v>
      </c>
      <c r="L492" t="str">
        <f t="shared" si="43"/>
        <v>Female</v>
      </c>
      <c r="M492" t="str">
        <f t="shared" si="44"/>
        <v>Gloria Perez</v>
      </c>
      <c r="N492" s="4" t="str">
        <f t="shared" si="45"/>
        <v>Orthopedics</v>
      </c>
      <c r="O492" s="6">
        <f t="shared" si="46"/>
        <v>191.19</v>
      </c>
      <c r="P492" s="4" t="str">
        <f t="shared" si="47"/>
        <v>No</v>
      </c>
      <c r="Q492" s="4" t="str">
        <f>IF(OR(A492="",C492="",L492="Missing",M492="Missing",O492="0.00",K492="Missing"),"Review","OK")</f>
        <v>OK</v>
      </c>
    </row>
    <row r="493" spans="1:17" x14ac:dyDescent="0.3">
      <c r="A493">
        <v>1080</v>
      </c>
      <c r="B493" t="s">
        <v>1585</v>
      </c>
      <c r="C493">
        <v>38</v>
      </c>
      <c r="D493">
        <v>1</v>
      </c>
      <c r="E493" s="3" t="s">
        <v>1586</v>
      </c>
      <c r="F493" s="3">
        <v>45438</v>
      </c>
      <c r="G493" t="s">
        <v>1587</v>
      </c>
      <c r="H493" t="s">
        <v>19</v>
      </c>
      <c r="I493" t="s">
        <v>1588</v>
      </c>
      <c r="J493">
        <v>1</v>
      </c>
      <c r="K493" t="str">
        <f t="shared" si="42"/>
        <v>Cynthia Jones</v>
      </c>
      <c r="L493" t="str">
        <f t="shared" si="43"/>
        <v>Female</v>
      </c>
      <c r="M493" t="str">
        <f t="shared" si="44"/>
        <v>Eugene Little</v>
      </c>
      <c r="N493" s="4" t="str">
        <f t="shared" si="45"/>
        <v>Orthopedics</v>
      </c>
      <c r="O493" s="6">
        <f t="shared" si="46"/>
        <v>318.14999999999998</v>
      </c>
      <c r="P493" s="4" t="str">
        <f t="shared" si="47"/>
        <v>Yes</v>
      </c>
      <c r="Q493" s="4" t="str">
        <f>IF(OR(A493="",C493="",L493="Missing",M493="Missing",O493="0.00",K493="Missing"),"Review","OK")</f>
        <v>OK</v>
      </c>
    </row>
    <row r="494" spans="1:17" x14ac:dyDescent="0.3">
      <c r="A494">
        <v>1089</v>
      </c>
      <c r="B494" t="s">
        <v>1589</v>
      </c>
      <c r="C494">
        <v>23</v>
      </c>
      <c r="D494" t="s">
        <v>16</v>
      </c>
      <c r="E494" s="3">
        <v>45879</v>
      </c>
      <c r="F494" s="3">
        <v>45769</v>
      </c>
      <c r="G494" t="s">
        <v>1590</v>
      </c>
      <c r="H494" t="s">
        <v>29</v>
      </c>
      <c r="I494" t="s">
        <v>1591</v>
      </c>
      <c r="J494">
        <v>0</v>
      </c>
      <c r="K494" t="str">
        <f t="shared" si="42"/>
        <v>Henry Quinn</v>
      </c>
      <c r="L494" t="str">
        <f t="shared" si="43"/>
        <v>Female</v>
      </c>
      <c r="M494" t="str">
        <f t="shared" si="44"/>
        <v>Audrey Hansen</v>
      </c>
      <c r="N494" s="4" t="str">
        <f t="shared" si="45"/>
        <v>General</v>
      </c>
      <c r="O494" s="6">
        <f t="shared" si="46"/>
        <v>350</v>
      </c>
      <c r="P494" s="4" t="str">
        <f t="shared" si="47"/>
        <v>No</v>
      </c>
      <c r="Q494" s="4" t="str">
        <f>IF(OR(A494="",C494="",L494="Missing",M494="Missing",O494="0.00",K494="Missing"),"Review","OK")</f>
        <v>OK</v>
      </c>
    </row>
    <row r="495" spans="1:17" x14ac:dyDescent="0.3">
      <c r="A495">
        <v>1070</v>
      </c>
      <c r="B495" t="s">
        <v>1592</v>
      </c>
      <c r="C495">
        <v>62</v>
      </c>
      <c r="D495" t="s">
        <v>11</v>
      </c>
      <c r="E495" s="3">
        <v>45909</v>
      </c>
      <c r="F495" s="3">
        <v>45621</v>
      </c>
      <c r="G495" t="s">
        <v>1593</v>
      </c>
      <c r="H495" t="s">
        <v>13</v>
      </c>
      <c r="I495" t="s">
        <v>1594</v>
      </c>
      <c r="J495" t="s">
        <v>39</v>
      </c>
      <c r="K495" t="str">
        <f t="shared" si="42"/>
        <v>Jake Robinson</v>
      </c>
      <c r="L495" t="str">
        <f t="shared" si="43"/>
        <v>Female</v>
      </c>
      <c r="M495" t="str">
        <f t="shared" si="44"/>
        <v>Nathan Quinn</v>
      </c>
      <c r="N495" s="4" t="str">
        <f t="shared" si="45"/>
        <v>Cardiology</v>
      </c>
      <c r="O495" s="6">
        <f t="shared" si="46"/>
        <v>178.28</v>
      </c>
      <c r="P495" s="4" t="str">
        <f t="shared" si="47"/>
        <v>Yes</v>
      </c>
      <c r="Q495" s="4" t="str">
        <f>IF(OR(A495="",C495="",L495="Missing",M495="Missing",O495="0.00",K495="Missing"),"Review","OK")</f>
        <v>OK</v>
      </c>
    </row>
    <row r="496" spans="1:17" x14ac:dyDescent="0.3">
      <c r="A496">
        <v>1093</v>
      </c>
      <c r="B496" t="s">
        <v>1595</v>
      </c>
      <c r="C496">
        <v>34</v>
      </c>
      <c r="D496">
        <v>0</v>
      </c>
      <c r="E496" s="3">
        <v>46085</v>
      </c>
      <c r="F496" s="3">
        <v>45605</v>
      </c>
      <c r="G496" t="s">
        <v>1596</v>
      </c>
      <c r="H496" t="s">
        <v>19</v>
      </c>
      <c r="I496" t="s">
        <v>1597</v>
      </c>
      <c r="J496" t="s">
        <v>21</v>
      </c>
      <c r="K496" t="str">
        <f t="shared" si="42"/>
        <v>Kimberly Morrison</v>
      </c>
      <c r="L496" t="str">
        <f t="shared" si="43"/>
        <v>Male</v>
      </c>
      <c r="M496" t="str">
        <f t="shared" si="44"/>
        <v>Brian Young</v>
      </c>
      <c r="N496" s="4" t="str">
        <f t="shared" si="45"/>
        <v>Orthopedics</v>
      </c>
      <c r="O496" s="6">
        <f t="shared" si="46"/>
        <v>248.31</v>
      </c>
      <c r="P496" s="4" t="str">
        <f t="shared" si="47"/>
        <v>Yes</v>
      </c>
      <c r="Q496" s="4" t="str">
        <f>IF(OR(A496="",C496="",L496="Missing",M496="Missing",O496="0.00",K496="Missing"),"Review","OK")</f>
        <v>OK</v>
      </c>
    </row>
    <row r="497" spans="1:17" x14ac:dyDescent="0.3">
      <c r="A497">
        <v>1088</v>
      </c>
      <c r="B497" t="s">
        <v>1598</v>
      </c>
      <c r="C497">
        <v>35</v>
      </c>
      <c r="D497" t="s">
        <v>23</v>
      </c>
      <c r="E497" s="3">
        <v>45957</v>
      </c>
      <c r="F497" s="3">
        <v>45968</v>
      </c>
      <c r="G497" t="s">
        <v>1599</v>
      </c>
      <c r="H497" t="s">
        <v>13</v>
      </c>
      <c r="I497" t="s">
        <v>1600</v>
      </c>
      <c r="J497">
        <v>1</v>
      </c>
      <c r="K497" t="str">
        <f t="shared" si="42"/>
        <v>Ricardo White</v>
      </c>
      <c r="L497" t="str">
        <f t="shared" si="43"/>
        <v>Male</v>
      </c>
      <c r="M497" t="str">
        <f t="shared" si="44"/>
        <v>Tanya Barker</v>
      </c>
      <c r="N497" s="4" t="str">
        <f t="shared" si="45"/>
        <v>Cardiology</v>
      </c>
      <c r="O497" s="6">
        <f t="shared" si="46"/>
        <v>352.72</v>
      </c>
      <c r="P497" s="4" t="str">
        <f t="shared" si="47"/>
        <v>Yes</v>
      </c>
      <c r="Q497" s="4" t="str">
        <f>IF(OR(A497="",C497="",L497="Missing",M497="Missing",O497="0.00",K497="Missing"),"Review","OK")</f>
        <v>OK</v>
      </c>
    </row>
    <row r="498" spans="1:17" x14ac:dyDescent="0.3">
      <c r="A498">
        <v>1086</v>
      </c>
      <c r="B498" t="s">
        <v>1601</v>
      </c>
      <c r="C498">
        <v>36</v>
      </c>
      <c r="D498" t="s">
        <v>76</v>
      </c>
      <c r="E498" s="3" t="s">
        <v>1602</v>
      </c>
      <c r="F498" s="3">
        <v>45529</v>
      </c>
      <c r="G498" t="s">
        <v>1603</v>
      </c>
      <c r="H498" t="s">
        <v>19</v>
      </c>
      <c r="I498" t="s">
        <v>1604</v>
      </c>
      <c r="J498">
        <v>0</v>
      </c>
      <c r="K498" t="str">
        <f t="shared" si="42"/>
        <v>Cynthia Richard</v>
      </c>
      <c r="L498" t="str">
        <f t="shared" si="43"/>
        <v>Male</v>
      </c>
      <c r="M498" t="str">
        <f t="shared" si="44"/>
        <v>Scott King</v>
      </c>
      <c r="N498" s="4" t="str">
        <f t="shared" si="45"/>
        <v>Orthopedics</v>
      </c>
      <c r="O498" s="6">
        <f t="shared" si="46"/>
        <v>208.03</v>
      </c>
      <c r="P498" s="4" t="str">
        <f t="shared" si="47"/>
        <v>No</v>
      </c>
      <c r="Q498" s="4" t="str">
        <f>IF(OR(A498="",C498="",L498="Missing",M498="Missing",O498="0.00",K498="Missing"),"Review","OK")</f>
        <v>OK</v>
      </c>
    </row>
    <row r="499" spans="1:17" x14ac:dyDescent="0.3">
      <c r="A499">
        <v>1033</v>
      </c>
      <c r="B499" t="s">
        <v>1605</v>
      </c>
      <c r="C499">
        <v>47</v>
      </c>
      <c r="D499">
        <v>0</v>
      </c>
      <c r="E499" s="3">
        <v>45994</v>
      </c>
      <c r="F499" s="3">
        <v>45893</v>
      </c>
      <c r="G499" t="s">
        <v>1606</v>
      </c>
      <c r="H499" t="s">
        <v>13</v>
      </c>
      <c r="I499" t="s">
        <v>1607</v>
      </c>
      <c r="J499" t="s">
        <v>65</v>
      </c>
      <c r="K499" t="str">
        <f t="shared" si="42"/>
        <v>David Thompson</v>
      </c>
      <c r="L499" t="str">
        <f t="shared" si="43"/>
        <v>Male</v>
      </c>
      <c r="M499" t="str">
        <f t="shared" si="44"/>
        <v>Derek Velazquez</v>
      </c>
      <c r="N499" s="4" t="str">
        <f t="shared" si="45"/>
        <v>Cardiology</v>
      </c>
      <c r="O499" s="6">
        <f t="shared" si="46"/>
        <v>116.75</v>
      </c>
      <c r="P499" s="4" t="str">
        <f t="shared" si="47"/>
        <v>No</v>
      </c>
      <c r="Q499" s="4" t="str">
        <f>IF(OR(A499="",C499="",L499="Missing",M499="Missing",O499="0.00",K499="Missing"),"Review","OK")</f>
        <v>OK</v>
      </c>
    </row>
    <row r="500" spans="1:17" x14ac:dyDescent="0.3">
      <c r="A500">
        <v>1023</v>
      </c>
      <c r="B500" t="s">
        <v>1608</v>
      </c>
      <c r="C500">
        <v>36</v>
      </c>
      <c r="D500">
        <v>1</v>
      </c>
      <c r="E500" s="3" t="s">
        <v>1609</v>
      </c>
      <c r="F500" s="3">
        <v>45665</v>
      </c>
      <c r="G500" t="s">
        <v>1610</v>
      </c>
      <c r="H500" t="s">
        <v>13</v>
      </c>
      <c r="I500" t="s">
        <v>1611</v>
      </c>
      <c r="J500" t="s">
        <v>65</v>
      </c>
      <c r="K500" t="str">
        <f t="shared" si="42"/>
        <v>Mary Moon</v>
      </c>
      <c r="L500" t="str">
        <f t="shared" si="43"/>
        <v>Female</v>
      </c>
      <c r="M500" t="str">
        <f t="shared" si="44"/>
        <v>Ernest Rodriguez</v>
      </c>
      <c r="N500" s="4" t="str">
        <f t="shared" si="45"/>
        <v>Cardiology</v>
      </c>
      <c r="O500" s="6">
        <f t="shared" si="46"/>
        <v>91.29</v>
      </c>
      <c r="P500" s="4" t="str">
        <f t="shared" si="47"/>
        <v>No</v>
      </c>
      <c r="Q500" s="4" t="str">
        <f>IF(OR(A500="",C500="",L500="Missing",M500="Missing",O500="0.00",K500="Missing"),"Review","OK")</f>
        <v>OK</v>
      </c>
    </row>
    <row r="501" spans="1:17" x14ac:dyDescent="0.3">
      <c r="A501">
        <v>1053</v>
      </c>
      <c r="B501" t="s">
        <v>1612</v>
      </c>
      <c r="C501">
        <v>57</v>
      </c>
      <c r="D501">
        <v>0</v>
      </c>
      <c r="E501" s="3">
        <v>45836</v>
      </c>
      <c r="F501" s="3">
        <v>45598</v>
      </c>
      <c r="G501" t="s">
        <v>1613</v>
      </c>
      <c r="H501" t="s">
        <v>13</v>
      </c>
      <c r="I501" t="s">
        <v>1614</v>
      </c>
      <c r="J501" t="s">
        <v>39</v>
      </c>
      <c r="K501" t="str">
        <f t="shared" si="42"/>
        <v>John Gallagher</v>
      </c>
      <c r="L501" t="str">
        <f t="shared" si="43"/>
        <v>Male</v>
      </c>
      <c r="M501" t="str">
        <f t="shared" si="44"/>
        <v>Kara Austin</v>
      </c>
      <c r="N501" s="4" t="str">
        <f t="shared" si="45"/>
        <v>Cardiology</v>
      </c>
      <c r="O501" s="6">
        <f t="shared" si="46"/>
        <v>198.61</v>
      </c>
      <c r="P501" s="4" t="str">
        <f t="shared" si="47"/>
        <v>Yes</v>
      </c>
      <c r="Q501" s="4" t="str">
        <f>IF(OR(A501="",C501="",L501="Missing",M501="Missing",O501="0.00",K501="Missing"),"Review","OK")</f>
        <v>OK</v>
      </c>
    </row>
    <row r="502" spans="1:17" x14ac:dyDescent="0.3">
      <c r="A502">
        <v>1040</v>
      </c>
      <c r="B502" t="s">
        <v>1615</v>
      </c>
      <c r="C502">
        <v>20</v>
      </c>
      <c r="D502" t="s">
        <v>41</v>
      </c>
      <c r="E502" s="3">
        <v>45983</v>
      </c>
      <c r="F502" s="3">
        <v>45812</v>
      </c>
      <c r="G502" t="s">
        <v>1616</v>
      </c>
      <c r="H502" t="s">
        <v>13</v>
      </c>
      <c r="I502" t="s">
        <v>1617</v>
      </c>
      <c r="J502" t="s">
        <v>31</v>
      </c>
      <c r="K502" t="str">
        <f t="shared" si="42"/>
        <v>Benjamin Allen</v>
      </c>
      <c r="L502" t="str">
        <f t="shared" si="43"/>
        <v>Female</v>
      </c>
      <c r="M502" t="str">
        <f t="shared" si="44"/>
        <v>Richard Johnson</v>
      </c>
      <c r="N502" s="4" t="str">
        <f t="shared" si="45"/>
        <v>Cardiology</v>
      </c>
      <c r="O502" s="6">
        <f t="shared" si="46"/>
        <v>257.17</v>
      </c>
      <c r="P502" s="4" t="str">
        <f t="shared" si="47"/>
        <v>No</v>
      </c>
      <c r="Q502" s="4" t="str">
        <f>IF(OR(A502="",C502="",L502="Missing",M502="Missing",O502="0.00",K502="Missing"),"Review","OK")</f>
        <v>OK</v>
      </c>
    </row>
    <row r="503" spans="1:17" x14ac:dyDescent="0.3">
      <c r="A503">
        <v>1073</v>
      </c>
      <c r="B503" t="s">
        <v>1618</v>
      </c>
      <c r="C503">
        <v>50</v>
      </c>
      <c r="D503">
        <v>0</v>
      </c>
      <c r="E503" s="3">
        <v>45970</v>
      </c>
      <c r="F503" s="3">
        <v>45730</v>
      </c>
      <c r="G503" t="s">
        <v>1619</v>
      </c>
      <c r="H503" t="s">
        <v>25</v>
      </c>
      <c r="I503" t="s">
        <v>1620</v>
      </c>
      <c r="J503" t="s">
        <v>39</v>
      </c>
      <c r="K503" t="str">
        <f t="shared" si="42"/>
        <v>Abigail Holt</v>
      </c>
      <c r="L503" t="str">
        <f t="shared" si="43"/>
        <v>Male</v>
      </c>
      <c r="M503" t="str">
        <f t="shared" si="44"/>
        <v>Jacob Mays</v>
      </c>
      <c r="N503" s="4" t="str">
        <f t="shared" si="45"/>
        <v>Neurology</v>
      </c>
      <c r="O503" s="6">
        <f t="shared" si="46"/>
        <v>343.79</v>
      </c>
      <c r="P503" s="4" t="str">
        <f t="shared" si="47"/>
        <v>Yes</v>
      </c>
      <c r="Q503" s="4" t="str">
        <f>IF(OR(A503="",C503="",L503="Missing",M503="Missing",O503="0.00",K503="Missing"),"Review","OK")</f>
        <v>OK</v>
      </c>
    </row>
    <row r="504" spans="1:17" x14ac:dyDescent="0.3">
      <c r="A504">
        <v>1031</v>
      </c>
      <c r="B504" t="s">
        <v>1621</v>
      </c>
      <c r="C504">
        <v>50</v>
      </c>
      <c r="D504" t="s">
        <v>16</v>
      </c>
      <c r="E504" s="3">
        <v>45980</v>
      </c>
      <c r="F504" s="3" t="s">
        <v>1622</v>
      </c>
      <c r="G504" t="s">
        <v>1623</v>
      </c>
      <c r="H504" t="s">
        <v>19</v>
      </c>
      <c r="I504" t="s">
        <v>1624</v>
      </c>
      <c r="J504">
        <v>1</v>
      </c>
      <c r="K504" t="str">
        <f t="shared" si="42"/>
        <v>Katherine Rogers</v>
      </c>
      <c r="L504" t="str">
        <f t="shared" si="43"/>
        <v>Female</v>
      </c>
      <c r="M504" t="str">
        <f t="shared" si="44"/>
        <v>Morgan Edwards</v>
      </c>
      <c r="N504" s="4" t="str">
        <f t="shared" si="45"/>
        <v>Orthopedics</v>
      </c>
      <c r="O504" s="6">
        <f t="shared" si="46"/>
        <v>431.21</v>
      </c>
      <c r="P504" s="4" t="str">
        <f t="shared" si="47"/>
        <v>Yes</v>
      </c>
      <c r="Q504" s="4" t="str">
        <f>IF(OR(A504="",C504="",L504="Missing",M504="Missing",O504="0.00",K504="Missing"),"Review","OK")</f>
        <v>OK</v>
      </c>
    </row>
    <row r="505" spans="1:17" x14ac:dyDescent="0.3">
      <c r="A505">
        <v>1093</v>
      </c>
      <c r="B505" t="s">
        <v>1625</v>
      </c>
      <c r="C505">
        <v>66</v>
      </c>
      <c r="D505" t="s">
        <v>16</v>
      </c>
      <c r="E505" s="3">
        <v>46055</v>
      </c>
      <c r="F505" s="3">
        <v>45702</v>
      </c>
      <c r="G505" t="s">
        <v>1626</v>
      </c>
      <c r="H505" t="s">
        <v>25</v>
      </c>
      <c r="I505" t="s">
        <v>1627</v>
      </c>
      <c r="J505">
        <v>1</v>
      </c>
      <c r="K505" t="str">
        <f t="shared" si="42"/>
        <v>Jason Larson</v>
      </c>
      <c r="L505" t="str">
        <f t="shared" si="43"/>
        <v>Female</v>
      </c>
      <c r="M505" t="str">
        <f t="shared" si="44"/>
        <v>Helen Davis</v>
      </c>
      <c r="N505" s="4" t="str">
        <f t="shared" si="45"/>
        <v>Neurology</v>
      </c>
      <c r="O505" s="6">
        <f t="shared" si="46"/>
        <v>241.91</v>
      </c>
      <c r="P505" s="4" t="str">
        <f t="shared" si="47"/>
        <v>Yes</v>
      </c>
      <c r="Q505" s="4" t="str">
        <f>IF(OR(A505="",C505="",L505="Missing",M505="Missing",O505="0.00",K505="Missing"),"Review","OK")</f>
        <v>OK</v>
      </c>
    </row>
    <row r="506" spans="1:17" x14ac:dyDescent="0.3">
      <c r="A506">
        <v>1029</v>
      </c>
      <c r="B506" t="s">
        <v>1628</v>
      </c>
      <c r="C506">
        <v>24</v>
      </c>
      <c r="D506" t="s">
        <v>76</v>
      </c>
      <c r="E506" s="3">
        <v>45865</v>
      </c>
      <c r="F506" s="3">
        <v>45857</v>
      </c>
      <c r="G506" t="s">
        <v>1629</v>
      </c>
      <c r="H506" t="s">
        <v>19</v>
      </c>
      <c r="I506" t="s">
        <v>1630</v>
      </c>
      <c r="J506" t="s">
        <v>39</v>
      </c>
      <c r="K506" t="str">
        <f t="shared" si="42"/>
        <v>Jesse Robertson</v>
      </c>
      <c r="L506" t="str">
        <f t="shared" si="43"/>
        <v>Male</v>
      </c>
      <c r="M506" t="str">
        <f t="shared" si="44"/>
        <v>Rebecca Gross</v>
      </c>
      <c r="N506" s="4" t="str">
        <f t="shared" si="45"/>
        <v>Orthopedics</v>
      </c>
      <c r="O506" s="6">
        <f t="shared" si="46"/>
        <v>95.25</v>
      </c>
      <c r="P506" s="4" t="str">
        <f t="shared" si="47"/>
        <v>Yes</v>
      </c>
      <c r="Q506" s="4" t="str">
        <f>IF(OR(A506="",C506="",L506="Missing",M506="Missing",O506="0.00",K506="Missing"),"Review","OK")</f>
        <v>OK</v>
      </c>
    </row>
    <row r="507" spans="1:17" x14ac:dyDescent="0.3">
      <c r="A507">
        <v>1082</v>
      </c>
      <c r="B507" t="s">
        <v>1631</v>
      </c>
      <c r="C507">
        <v>72</v>
      </c>
      <c r="D507" t="s">
        <v>56</v>
      </c>
      <c r="E507" s="3">
        <v>46002</v>
      </c>
      <c r="F507" s="3">
        <v>45681</v>
      </c>
      <c r="G507" t="s">
        <v>1632</v>
      </c>
      <c r="H507" t="s">
        <v>13</v>
      </c>
      <c r="I507" t="s">
        <v>1633</v>
      </c>
      <c r="J507" t="s">
        <v>31</v>
      </c>
      <c r="K507" t="str">
        <f t="shared" si="42"/>
        <v>Tyler Trujillo</v>
      </c>
      <c r="L507" t="str">
        <f t="shared" si="43"/>
        <v>Male</v>
      </c>
      <c r="M507" t="str">
        <f t="shared" si="44"/>
        <v>Andrea Walsh</v>
      </c>
      <c r="N507" s="4" t="str">
        <f t="shared" si="45"/>
        <v>Cardiology</v>
      </c>
      <c r="O507" s="6">
        <f t="shared" si="46"/>
        <v>167.07</v>
      </c>
      <c r="P507" s="4" t="str">
        <f t="shared" si="47"/>
        <v>No</v>
      </c>
      <c r="Q507" s="4" t="str">
        <f>IF(OR(A507="",C507="",L507="Missing",M507="Missing",O507="0.00",K507="Missing"),"Review","OK")</f>
        <v>OK</v>
      </c>
    </row>
    <row r="508" spans="1:17" x14ac:dyDescent="0.3">
      <c r="A508">
        <v>1099</v>
      </c>
      <c r="B508" t="s">
        <v>1634</v>
      </c>
      <c r="C508">
        <v>85</v>
      </c>
      <c r="D508" t="s">
        <v>23</v>
      </c>
      <c r="E508" s="3">
        <v>45950</v>
      </c>
      <c r="F508" s="3">
        <v>45879</v>
      </c>
      <c r="G508" t="s">
        <v>719</v>
      </c>
      <c r="H508" t="s">
        <v>25</v>
      </c>
      <c r="I508" t="s">
        <v>1635</v>
      </c>
      <c r="J508" t="s">
        <v>39</v>
      </c>
      <c r="K508" t="str">
        <f t="shared" si="42"/>
        <v>Travis Rodriguez</v>
      </c>
      <c r="L508" t="str">
        <f t="shared" si="43"/>
        <v>Male</v>
      </c>
      <c r="M508" t="str">
        <f t="shared" si="44"/>
        <v>Richard Wagner</v>
      </c>
      <c r="N508" s="4" t="str">
        <f t="shared" si="45"/>
        <v>Neurology</v>
      </c>
      <c r="O508" s="6">
        <f t="shared" si="46"/>
        <v>426.64</v>
      </c>
      <c r="P508" s="4" t="str">
        <f t="shared" si="47"/>
        <v>Yes</v>
      </c>
      <c r="Q508" s="4" t="str">
        <f>IF(OR(A508="",C508="",L508="Missing",M508="Missing",O508="0.00",K508="Missing"),"Review","OK")</f>
        <v>OK</v>
      </c>
    </row>
    <row r="509" spans="1:17" x14ac:dyDescent="0.3">
      <c r="A509">
        <v>1065</v>
      </c>
      <c r="B509" t="s">
        <v>1636</v>
      </c>
      <c r="C509">
        <v>38</v>
      </c>
      <c r="D509" t="s">
        <v>23</v>
      </c>
      <c r="E509" s="3">
        <v>45806</v>
      </c>
      <c r="F509" s="3">
        <v>45790</v>
      </c>
      <c r="G509" t="s">
        <v>1637</v>
      </c>
      <c r="H509" t="s">
        <v>13</v>
      </c>
      <c r="I509" t="s">
        <v>1638</v>
      </c>
      <c r="J509">
        <v>0</v>
      </c>
      <c r="K509" t="str">
        <f t="shared" si="42"/>
        <v>Darren Alvarado</v>
      </c>
      <c r="L509" t="str">
        <f t="shared" si="43"/>
        <v>Male</v>
      </c>
      <c r="M509" t="str">
        <f t="shared" si="44"/>
        <v>Spencer Booth</v>
      </c>
      <c r="N509" s="4" t="str">
        <f t="shared" si="45"/>
        <v>Cardiology</v>
      </c>
      <c r="O509" s="6">
        <f t="shared" si="46"/>
        <v>106.8</v>
      </c>
      <c r="P509" s="4" t="str">
        <f t="shared" si="47"/>
        <v>No</v>
      </c>
      <c r="Q509" s="4" t="str">
        <f>IF(OR(A509="",C509="",L509="Missing",M509="Missing",O509="0.00",K509="Missing"),"Review","OK")</f>
        <v>OK</v>
      </c>
    </row>
    <row r="510" spans="1:17" x14ac:dyDescent="0.3">
      <c r="A510">
        <v>1041</v>
      </c>
      <c r="B510" t="s">
        <v>1639</v>
      </c>
      <c r="C510">
        <v>67</v>
      </c>
      <c r="D510" t="s">
        <v>41</v>
      </c>
      <c r="E510" s="3">
        <v>45764</v>
      </c>
      <c r="F510" s="3">
        <v>45550</v>
      </c>
      <c r="G510" t="s">
        <v>1640</v>
      </c>
      <c r="H510" t="s">
        <v>19</v>
      </c>
      <c r="I510" t="s">
        <v>1641</v>
      </c>
      <c r="J510">
        <v>0</v>
      </c>
      <c r="K510" t="str">
        <f t="shared" si="42"/>
        <v>Troy Marshall</v>
      </c>
      <c r="L510" t="str">
        <f t="shared" si="43"/>
        <v>Female</v>
      </c>
      <c r="M510" t="str">
        <f t="shared" si="44"/>
        <v>Benjamin Robinson</v>
      </c>
      <c r="N510" s="4" t="str">
        <f t="shared" si="45"/>
        <v>Orthopedics</v>
      </c>
      <c r="O510" s="6">
        <f t="shared" si="46"/>
        <v>478.18</v>
      </c>
      <c r="P510" s="4" t="str">
        <f t="shared" si="47"/>
        <v>No</v>
      </c>
      <c r="Q510" s="4" t="str">
        <f>IF(OR(A510="",C510="",L510="Missing",M510="Missing",O510="0.00",K510="Missing"),"Review","OK")</f>
        <v>OK</v>
      </c>
    </row>
    <row r="511" spans="1:17" x14ac:dyDescent="0.3">
      <c r="A511">
        <v>1003</v>
      </c>
      <c r="B511" t="s">
        <v>1642</v>
      </c>
      <c r="C511">
        <v>27</v>
      </c>
      <c r="D511">
        <v>0</v>
      </c>
      <c r="E511" s="3">
        <v>45813</v>
      </c>
      <c r="F511" s="3">
        <v>45729</v>
      </c>
      <c r="G511" t="s">
        <v>1643</v>
      </c>
      <c r="H511" t="s">
        <v>19</v>
      </c>
      <c r="I511" t="s">
        <v>1644</v>
      </c>
      <c r="J511" t="s">
        <v>39</v>
      </c>
      <c r="K511" t="str">
        <f t="shared" si="42"/>
        <v>Corey Turner</v>
      </c>
      <c r="L511" t="str">
        <f t="shared" si="43"/>
        <v>Male</v>
      </c>
      <c r="M511" t="str">
        <f t="shared" si="44"/>
        <v>Heidi Baker</v>
      </c>
      <c r="N511" s="4" t="str">
        <f t="shared" si="45"/>
        <v>Orthopedics</v>
      </c>
      <c r="O511" s="6">
        <f t="shared" si="46"/>
        <v>435.1</v>
      </c>
      <c r="P511" s="4" t="str">
        <f t="shared" si="47"/>
        <v>Yes</v>
      </c>
      <c r="Q511" s="4" t="str">
        <f>IF(OR(A511="",C511="",L511="Missing",M511="Missing",O511="0.00",K511="Missing"),"Review","OK")</f>
        <v>OK</v>
      </c>
    </row>
    <row r="512" spans="1:17" x14ac:dyDescent="0.3">
      <c r="A512">
        <v>1038</v>
      </c>
      <c r="B512" t="s">
        <v>1645</v>
      </c>
      <c r="C512">
        <v>45</v>
      </c>
      <c r="D512" t="s">
        <v>41</v>
      </c>
      <c r="E512" s="3">
        <v>46079</v>
      </c>
      <c r="F512" s="3">
        <v>45722</v>
      </c>
      <c r="G512" t="s">
        <v>1646</v>
      </c>
      <c r="H512" t="s">
        <v>29</v>
      </c>
      <c r="I512" t="s">
        <v>1647</v>
      </c>
      <c r="J512" t="s">
        <v>39</v>
      </c>
      <c r="K512" t="str">
        <f t="shared" si="42"/>
        <v>Ashley Wright</v>
      </c>
      <c r="L512" t="str">
        <f t="shared" si="43"/>
        <v>Female</v>
      </c>
      <c r="M512" t="str">
        <f t="shared" si="44"/>
        <v>Kristen Lopez</v>
      </c>
      <c r="N512" s="4" t="str">
        <f t="shared" si="45"/>
        <v>General</v>
      </c>
      <c r="O512" s="6">
        <f t="shared" si="46"/>
        <v>403.22</v>
      </c>
      <c r="P512" s="4" t="str">
        <f t="shared" si="47"/>
        <v>Yes</v>
      </c>
      <c r="Q512" s="4" t="str">
        <f>IF(OR(A512="",C512="",L512="Missing",M512="Missing",O512="0.00",K512="Missing"),"Review","OK")</f>
        <v>OK</v>
      </c>
    </row>
    <row r="513" spans="1:17" x14ac:dyDescent="0.3">
      <c r="A513">
        <v>1061</v>
      </c>
      <c r="B513" t="s">
        <v>1648</v>
      </c>
      <c r="C513">
        <v>37</v>
      </c>
      <c r="D513">
        <v>0</v>
      </c>
      <c r="E513" s="3">
        <v>45947</v>
      </c>
      <c r="F513" s="3">
        <v>45754</v>
      </c>
      <c r="G513" t="s">
        <v>1649</v>
      </c>
      <c r="H513" t="s">
        <v>19</v>
      </c>
      <c r="I513" t="s">
        <v>1650</v>
      </c>
      <c r="J513" t="s">
        <v>31</v>
      </c>
      <c r="K513" t="str">
        <f t="shared" si="42"/>
        <v>Jose Bauer</v>
      </c>
      <c r="L513" t="str">
        <f t="shared" si="43"/>
        <v>Male</v>
      </c>
      <c r="M513" t="str">
        <f t="shared" si="44"/>
        <v>Reginald Barrett</v>
      </c>
      <c r="N513" s="4" t="str">
        <f t="shared" si="45"/>
        <v>Orthopedics</v>
      </c>
      <c r="O513" s="6">
        <f t="shared" si="46"/>
        <v>390.81</v>
      </c>
      <c r="P513" s="4" t="str">
        <f t="shared" si="47"/>
        <v>No</v>
      </c>
      <c r="Q513" s="4" t="str">
        <f>IF(OR(A513="",C513="",L513="Missing",M513="Missing",O513="0.00",K513="Missing"),"Review","OK")</f>
        <v>OK</v>
      </c>
    </row>
    <row r="514" spans="1:17" x14ac:dyDescent="0.3">
      <c r="A514">
        <v>1024</v>
      </c>
      <c r="B514" t="s">
        <v>1651</v>
      </c>
      <c r="C514">
        <v>26</v>
      </c>
      <c r="D514" t="s">
        <v>23</v>
      </c>
      <c r="E514" s="3">
        <v>45950</v>
      </c>
      <c r="F514" s="3">
        <v>45544</v>
      </c>
      <c r="G514" t="s">
        <v>1652</v>
      </c>
      <c r="H514" t="s">
        <v>19</v>
      </c>
      <c r="I514" t="s">
        <v>1653</v>
      </c>
      <c r="J514" t="s">
        <v>65</v>
      </c>
      <c r="K514" t="str">
        <f t="shared" ref="K514:K577" si="48">PROPER(TRIM(CLEAN(B514)))</f>
        <v>Jared Lester</v>
      </c>
      <c r="L514" t="str">
        <f t="shared" ref="L514:L577" si="49">_xlfn.LET(_xlpm.x,LOWER(TRIM(D514)),
IF(OR(_xlpm.x="f",_xlpm.x="female",_xlpm.x="1"),"Female",
IF(OR(_xlpm.x="m",_xlpm.x="male",_xlpm.x="0"),"Male",
IF(_xlpm.x="","Missing","Review"))))</f>
        <v>Male</v>
      </c>
      <c r="M514" t="str">
        <f t="shared" ref="M514:M577" si="50">PROPER(TRIM(CLEAN(G514)))</f>
        <v>David Espinoza</v>
      </c>
      <c r="N514" s="4" t="str">
        <f t="shared" ref="N514:N577" si="51">PROPER(TRIM(CLEAN(H514)))</f>
        <v>Orthopedics</v>
      </c>
      <c r="O514" s="6">
        <f t="shared" ref="O514:O577" si="52">_xlfn.LET(_xlpm.x,TRIM(I514),IF(_xlpm.x="","0.00",IFERROR(VALUE(SUBSTITUTE(SUBSTITUTE(SUBSTITUTE(SUBSTITUTE(SUBSTITUTE(SUBSTITUTE(_xlpm.x,"Â£",""),"â‚¬",""),"$",""),"Rs",""),"£",""),"€","")),"0.00")))</f>
        <v>310.42</v>
      </c>
      <c r="P514" s="4" t="str">
        <f t="shared" ref="P514:P577" si="53">_xlfn.LET(_xlpm.x,LOWER(TRIM(J514)),
IF(OR(_xlpm.x="y",_xlpm.x="yes",_xlpm.x="1"),"Yes",
IF(OR(_xlpm.x="n",_xlpm.x="no",_xlpm.x="0"),"No",
IF(_xlpm.x="","Missing","Review"))))</f>
        <v>No</v>
      </c>
      <c r="Q514" s="4" t="str">
        <f>IF(OR(A514="",C514="",L514="Missing",M514="Missing",O514="0.00",K514="Missing"),"Review","OK")</f>
        <v>OK</v>
      </c>
    </row>
    <row r="515" spans="1:17" x14ac:dyDescent="0.3">
      <c r="A515">
        <v>1017</v>
      </c>
      <c r="B515" t="s">
        <v>1654</v>
      </c>
      <c r="C515">
        <v>86</v>
      </c>
      <c r="D515">
        <v>0</v>
      </c>
      <c r="E515" s="3">
        <v>46267</v>
      </c>
      <c r="F515" s="3">
        <v>46043</v>
      </c>
      <c r="G515" t="s">
        <v>1655</v>
      </c>
      <c r="H515" t="s">
        <v>25</v>
      </c>
      <c r="I515" t="s">
        <v>1656</v>
      </c>
      <c r="J515">
        <v>0</v>
      </c>
      <c r="K515" t="str">
        <f t="shared" si="48"/>
        <v>Jeffrey Martinez</v>
      </c>
      <c r="L515" t="str">
        <f t="shared" si="49"/>
        <v>Male</v>
      </c>
      <c r="M515" t="str">
        <f t="shared" si="50"/>
        <v>Michael Ross</v>
      </c>
      <c r="N515" s="4" t="str">
        <f t="shared" si="51"/>
        <v>Neurology</v>
      </c>
      <c r="O515" s="6">
        <f t="shared" si="52"/>
        <v>469.3</v>
      </c>
      <c r="P515" s="4" t="str">
        <f t="shared" si="53"/>
        <v>No</v>
      </c>
      <c r="Q515" s="4" t="str">
        <f>IF(OR(A515="",C515="",L515="Missing",M515="Missing",O515="0.00",K515="Missing"),"Review","OK")</f>
        <v>OK</v>
      </c>
    </row>
    <row r="516" spans="1:17" x14ac:dyDescent="0.3">
      <c r="A516">
        <v>1010</v>
      </c>
      <c r="B516" t="s">
        <v>1657</v>
      </c>
      <c r="C516">
        <v>82</v>
      </c>
      <c r="D516" t="s">
        <v>56</v>
      </c>
      <c r="E516" s="3" t="s">
        <v>1658</v>
      </c>
      <c r="F516" s="3">
        <v>45796</v>
      </c>
      <c r="G516" t="s">
        <v>1659</v>
      </c>
      <c r="H516" t="s">
        <v>19</v>
      </c>
      <c r="I516" t="s">
        <v>1660</v>
      </c>
      <c r="J516" t="s">
        <v>21</v>
      </c>
      <c r="K516" t="str">
        <f t="shared" si="48"/>
        <v>Christopher Massey</v>
      </c>
      <c r="L516" t="str">
        <f t="shared" si="49"/>
        <v>Male</v>
      </c>
      <c r="M516" t="str">
        <f t="shared" si="50"/>
        <v>William Moore</v>
      </c>
      <c r="N516" s="4" t="str">
        <f t="shared" si="51"/>
        <v>Orthopedics</v>
      </c>
      <c r="O516" s="6">
        <f t="shared" si="52"/>
        <v>495.94</v>
      </c>
      <c r="P516" s="4" t="str">
        <f t="shared" si="53"/>
        <v>Yes</v>
      </c>
      <c r="Q516" s="4" t="str">
        <f>IF(OR(A516="",C516="",L516="Missing",M516="Missing",O516="0.00",K516="Missing"),"Review","OK")</f>
        <v>OK</v>
      </c>
    </row>
    <row r="517" spans="1:17" x14ac:dyDescent="0.3">
      <c r="A517">
        <v>1096</v>
      </c>
      <c r="B517" t="s">
        <v>1661</v>
      </c>
      <c r="C517">
        <v>82</v>
      </c>
      <c r="D517" t="s">
        <v>76</v>
      </c>
      <c r="E517" s="3">
        <v>45792</v>
      </c>
      <c r="F517" s="3">
        <v>45790</v>
      </c>
      <c r="G517" t="s">
        <v>1662</v>
      </c>
      <c r="H517" t="s">
        <v>29</v>
      </c>
      <c r="I517" t="s">
        <v>1663</v>
      </c>
      <c r="J517" t="s">
        <v>31</v>
      </c>
      <c r="K517" t="str">
        <f t="shared" si="48"/>
        <v>Erin Small</v>
      </c>
      <c r="L517" t="str">
        <f t="shared" si="49"/>
        <v>Male</v>
      </c>
      <c r="M517" t="str">
        <f t="shared" si="50"/>
        <v>Jeff Lane</v>
      </c>
      <c r="N517" s="4" t="str">
        <f t="shared" si="51"/>
        <v>General</v>
      </c>
      <c r="O517" s="6">
        <f t="shared" si="52"/>
        <v>403.87</v>
      </c>
      <c r="P517" s="4" t="str">
        <f t="shared" si="53"/>
        <v>No</v>
      </c>
      <c r="Q517" s="4" t="str">
        <f>IF(OR(A517="",C517="",L517="Missing",M517="Missing",O517="0.00",K517="Missing"),"Review","OK")</f>
        <v>OK</v>
      </c>
    </row>
    <row r="518" spans="1:17" x14ac:dyDescent="0.3">
      <c r="A518">
        <v>1024</v>
      </c>
      <c r="B518" t="s">
        <v>1664</v>
      </c>
      <c r="C518">
        <v>18</v>
      </c>
      <c r="D518" t="s">
        <v>23</v>
      </c>
      <c r="E518" s="3">
        <v>45936</v>
      </c>
      <c r="F518" s="3">
        <v>45624</v>
      </c>
      <c r="G518" t="s">
        <v>1665</v>
      </c>
      <c r="H518" t="s">
        <v>19</v>
      </c>
      <c r="I518" t="s">
        <v>1666</v>
      </c>
      <c r="J518">
        <v>0</v>
      </c>
      <c r="K518" t="str">
        <f t="shared" si="48"/>
        <v>Pamela Dalton</v>
      </c>
      <c r="L518" t="str">
        <f t="shared" si="49"/>
        <v>Male</v>
      </c>
      <c r="M518" t="str">
        <f t="shared" si="50"/>
        <v>Christopher Jones</v>
      </c>
      <c r="N518" s="4" t="str">
        <f t="shared" si="51"/>
        <v>Orthopedics</v>
      </c>
      <c r="O518" s="6">
        <f t="shared" si="52"/>
        <v>466.56</v>
      </c>
      <c r="P518" s="4" t="str">
        <f t="shared" si="53"/>
        <v>No</v>
      </c>
      <c r="Q518" s="4" t="str">
        <f>IF(OR(A518="",C518="",L518="Missing",M518="Missing",O518="0.00",K518="Missing"),"Review","OK")</f>
        <v>OK</v>
      </c>
    </row>
    <row r="519" spans="1:17" x14ac:dyDescent="0.3">
      <c r="A519">
        <v>1058</v>
      </c>
      <c r="B519" t="s">
        <v>1667</v>
      </c>
      <c r="C519">
        <v>59</v>
      </c>
      <c r="D519" t="s">
        <v>11</v>
      </c>
      <c r="E519" s="3">
        <v>46096</v>
      </c>
      <c r="F519" s="3">
        <v>45663</v>
      </c>
      <c r="G519" t="s">
        <v>1668</v>
      </c>
      <c r="H519" t="s">
        <v>19</v>
      </c>
      <c r="I519" t="s">
        <v>1669</v>
      </c>
      <c r="J519" t="s">
        <v>65</v>
      </c>
      <c r="K519" t="str">
        <f t="shared" si="48"/>
        <v>Rebecca Parrish</v>
      </c>
      <c r="L519" t="str">
        <f t="shared" si="49"/>
        <v>Female</v>
      </c>
      <c r="M519" t="str">
        <f t="shared" si="50"/>
        <v>Jordan Shelton</v>
      </c>
      <c r="N519" s="4" t="str">
        <f t="shared" si="51"/>
        <v>Orthopedics</v>
      </c>
      <c r="O519" s="6">
        <f t="shared" si="52"/>
        <v>163.52000000000001</v>
      </c>
      <c r="P519" s="4" t="str">
        <f t="shared" si="53"/>
        <v>No</v>
      </c>
      <c r="Q519" s="4" t="str">
        <f>IF(OR(A519="",C519="",L519="Missing",M519="Missing",O519="0.00",K519="Missing"),"Review","OK")</f>
        <v>OK</v>
      </c>
    </row>
    <row r="520" spans="1:17" x14ac:dyDescent="0.3">
      <c r="A520">
        <v>1068</v>
      </c>
      <c r="B520" t="s">
        <v>1670</v>
      </c>
      <c r="C520">
        <v>37</v>
      </c>
      <c r="D520" t="s">
        <v>56</v>
      </c>
      <c r="E520" s="3">
        <v>45979</v>
      </c>
      <c r="F520" s="3">
        <v>45614</v>
      </c>
      <c r="G520" t="s">
        <v>1671</v>
      </c>
      <c r="H520" t="s">
        <v>13</v>
      </c>
      <c r="I520" t="s">
        <v>1672</v>
      </c>
      <c r="J520" t="s">
        <v>39</v>
      </c>
      <c r="K520" t="str">
        <f t="shared" si="48"/>
        <v>Dominic Bell</v>
      </c>
      <c r="L520" t="str">
        <f t="shared" si="49"/>
        <v>Male</v>
      </c>
      <c r="M520" t="str">
        <f t="shared" si="50"/>
        <v>April Castillo</v>
      </c>
      <c r="N520" s="4" t="str">
        <f t="shared" si="51"/>
        <v>Cardiology</v>
      </c>
      <c r="O520" s="6">
        <f t="shared" si="52"/>
        <v>356.13</v>
      </c>
      <c r="P520" s="4" t="str">
        <f t="shared" si="53"/>
        <v>Yes</v>
      </c>
      <c r="Q520" s="4" t="str">
        <f>IF(OR(A520="",C520="",L520="Missing",M520="Missing",O520="0.00",K520="Missing"),"Review","OK")</f>
        <v>OK</v>
      </c>
    </row>
    <row r="521" spans="1:17" x14ac:dyDescent="0.3">
      <c r="A521">
        <v>1013</v>
      </c>
      <c r="B521" t="s">
        <v>1673</v>
      </c>
      <c r="C521">
        <v>71</v>
      </c>
      <c r="D521">
        <v>0</v>
      </c>
      <c r="E521" s="3">
        <v>45874</v>
      </c>
      <c r="F521" s="3">
        <v>45845</v>
      </c>
      <c r="G521" t="s">
        <v>1674</v>
      </c>
      <c r="H521" t="s">
        <v>19</v>
      </c>
      <c r="I521" t="s">
        <v>1675</v>
      </c>
      <c r="J521">
        <v>0</v>
      </c>
      <c r="K521" t="str">
        <f t="shared" si="48"/>
        <v>Gregory Arellano</v>
      </c>
      <c r="L521" t="str">
        <f t="shared" si="49"/>
        <v>Male</v>
      </c>
      <c r="M521" t="str">
        <f t="shared" si="50"/>
        <v>Natalie Smith</v>
      </c>
      <c r="N521" s="4" t="str">
        <f t="shared" si="51"/>
        <v>Orthopedics</v>
      </c>
      <c r="O521" s="6">
        <f t="shared" si="52"/>
        <v>400.62</v>
      </c>
      <c r="P521" s="4" t="str">
        <f t="shared" si="53"/>
        <v>No</v>
      </c>
      <c r="Q521" s="4" t="str">
        <f>IF(OR(A521="",C521="",L521="Missing",M521="Missing",O521="0.00",K521="Missing"),"Review","OK")</f>
        <v>OK</v>
      </c>
    </row>
    <row r="522" spans="1:17" x14ac:dyDescent="0.3">
      <c r="A522">
        <v>1009</v>
      </c>
      <c r="B522" t="s">
        <v>1676</v>
      </c>
      <c r="C522">
        <v>49</v>
      </c>
      <c r="D522">
        <v>0</v>
      </c>
      <c r="E522" s="3" t="s">
        <v>1110</v>
      </c>
      <c r="F522" s="3">
        <v>46038</v>
      </c>
      <c r="G522" t="s">
        <v>1677</v>
      </c>
      <c r="H522" t="s">
        <v>13</v>
      </c>
      <c r="I522" t="s">
        <v>1678</v>
      </c>
      <c r="J522" t="s">
        <v>65</v>
      </c>
      <c r="K522" t="str">
        <f t="shared" si="48"/>
        <v>Laura Chan</v>
      </c>
      <c r="L522" t="str">
        <f t="shared" si="49"/>
        <v>Male</v>
      </c>
      <c r="M522" t="str">
        <f t="shared" si="50"/>
        <v>Reginald Miller</v>
      </c>
      <c r="N522" s="4" t="str">
        <f t="shared" si="51"/>
        <v>Cardiology</v>
      </c>
      <c r="O522" s="6">
        <f t="shared" si="52"/>
        <v>177.93</v>
      </c>
      <c r="P522" s="4" t="str">
        <f t="shared" si="53"/>
        <v>No</v>
      </c>
      <c r="Q522" s="4" t="str">
        <f>IF(OR(A522="",C522="",L522="Missing",M522="Missing",O522="0.00",K522="Missing"),"Review","OK")</f>
        <v>OK</v>
      </c>
    </row>
    <row r="523" spans="1:17" x14ac:dyDescent="0.3">
      <c r="A523">
        <v>1031</v>
      </c>
      <c r="B523" t="s">
        <v>1679</v>
      </c>
      <c r="C523">
        <v>35</v>
      </c>
      <c r="D523" t="s">
        <v>23</v>
      </c>
      <c r="E523" s="3">
        <v>45815</v>
      </c>
      <c r="F523" s="3">
        <v>45721</v>
      </c>
      <c r="G523" t="s">
        <v>1680</v>
      </c>
      <c r="H523" t="s">
        <v>29</v>
      </c>
      <c r="I523" t="s">
        <v>1681</v>
      </c>
      <c r="J523" t="s">
        <v>21</v>
      </c>
      <c r="K523" t="str">
        <f t="shared" si="48"/>
        <v>Michael Watkins</v>
      </c>
      <c r="L523" t="str">
        <f t="shared" si="49"/>
        <v>Male</v>
      </c>
      <c r="M523" t="str">
        <f t="shared" si="50"/>
        <v>Brian Deleon</v>
      </c>
      <c r="N523" s="4" t="str">
        <f t="shared" si="51"/>
        <v>General</v>
      </c>
      <c r="O523" s="6">
        <f t="shared" si="52"/>
        <v>313.04000000000002</v>
      </c>
      <c r="P523" s="4" t="str">
        <f t="shared" si="53"/>
        <v>Yes</v>
      </c>
      <c r="Q523" s="4" t="str">
        <f>IF(OR(A523="",C523="",L523="Missing",M523="Missing",O523="0.00",K523="Missing"),"Review","OK")</f>
        <v>OK</v>
      </c>
    </row>
    <row r="524" spans="1:17" x14ac:dyDescent="0.3">
      <c r="A524">
        <v>1043</v>
      </c>
      <c r="B524" t="s">
        <v>1682</v>
      </c>
      <c r="C524">
        <v>38</v>
      </c>
      <c r="D524" t="s">
        <v>23</v>
      </c>
      <c r="E524" s="3" t="s">
        <v>1379</v>
      </c>
      <c r="F524" s="3">
        <v>45809</v>
      </c>
      <c r="G524" t="s">
        <v>1683</v>
      </c>
      <c r="H524" t="s">
        <v>25</v>
      </c>
      <c r="I524" t="s">
        <v>1684</v>
      </c>
      <c r="J524">
        <v>0</v>
      </c>
      <c r="K524" t="str">
        <f t="shared" si="48"/>
        <v>Daniel Garrett</v>
      </c>
      <c r="L524" t="str">
        <f t="shared" si="49"/>
        <v>Male</v>
      </c>
      <c r="M524" t="str">
        <f t="shared" si="50"/>
        <v>Francisco Steele</v>
      </c>
      <c r="N524" s="4" t="str">
        <f t="shared" si="51"/>
        <v>Neurology</v>
      </c>
      <c r="O524" s="6">
        <f t="shared" si="52"/>
        <v>424.5</v>
      </c>
      <c r="P524" s="4" t="str">
        <f t="shared" si="53"/>
        <v>No</v>
      </c>
      <c r="Q524" s="4" t="str">
        <f>IF(OR(A524="",C524="",L524="Missing",M524="Missing",O524="0.00",K524="Missing"),"Review","OK")</f>
        <v>OK</v>
      </c>
    </row>
    <row r="525" spans="1:17" x14ac:dyDescent="0.3">
      <c r="A525">
        <v>1072</v>
      </c>
      <c r="B525" t="s">
        <v>1685</v>
      </c>
      <c r="C525">
        <v>30</v>
      </c>
      <c r="D525" t="s">
        <v>41</v>
      </c>
      <c r="E525" s="3">
        <v>46047</v>
      </c>
      <c r="F525" s="3">
        <v>45931</v>
      </c>
      <c r="G525" t="s">
        <v>1686</v>
      </c>
      <c r="H525" t="s">
        <v>29</v>
      </c>
      <c r="I525" t="s">
        <v>1687</v>
      </c>
      <c r="J525">
        <v>1</v>
      </c>
      <c r="K525" t="str">
        <f t="shared" si="48"/>
        <v>Ronald Gonzalez</v>
      </c>
      <c r="L525" t="str">
        <f t="shared" si="49"/>
        <v>Female</v>
      </c>
      <c r="M525" t="str">
        <f t="shared" si="50"/>
        <v>Crystal Mueller</v>
      </c>
      <c r="N525" s="4" t="str">
        <f t="shared" si="51"/>
        <v>General</v>
      </c>
      <c r="O525" s="6">
        <f t="shared" si="52"/>
        <v>222.37</v>
      </c>
      <c r="P525" s="4" t="str">
        <f t="shared" si="53"/>
        <v>Yes</v>
      </c>
      <c r="Q525" s="4" t="str">
        <f>IF(OR(A525="",C525="",L525="Missing",M525="Missing",O525="0.00",K525="Missing"),"Review","OK")</f>
        <v>OK</v>
      </c>
    </row>
    <row r="526" spans="1:17" x14ac:dyDescent="0.3">
      <c r="A526">
        <v>1055</v>
      </c>
      <c r="B526" t="s">
        <v>1688</v>
      </c>
      <c r="C526">
        <v>80</v>
      </c>
      <c r="D526" t="s">
        <v>11</v>
      </c>
      <c r="E526" s="3">
        <v>45775</v>
      </c>
      <c r="F526" s="3">
        <v>45381</v>
      </c>
      <c r="G526" t="s">
        <v>1689</v>
      </c>
      <c r="H526" t="s">
        <v>25</v>
      </c>
      <c r="I526" t="s">
        <v>1690</v>
      </c>
      <c r="J526" t="s">
        <v>65</v>
      </c>
      <c r="K526" t="str">
        <f t="shared" si="48"/>
        <v>Charles Green</v>
      </c>
      <c r="L526" t="str">
        <f t="shared" si="49"/>
        <v>Female</v>
      </c>
      <c r="M526" t="str">
        <f t="shared" si="50"/>
        <v>Lisa Hoffman</v>
      </c>
      <c r="N526" s="4" t="str">
        <f t="shared" si="51"/>
        <v>Neurology</v>
      </c>
      <c r="O526" s="6">
        <f t="shared" si="52"/>
        <v>349.49</v>
      </c>
      <c r="P526" s="4" t="str">
        <f t="shared" si="53"/>
        <v>No</v>
      </c>
      <c r="Q526" s="4" t="str">
        <f>IF(OR(A526="",C526="",L526="Missing",M526="Missing",O526="0.00",K526="Missing"),"Review","OK")</f>
        <v>OK</v>
      </c>
    </row>
    <row r="527" spans="1:17" x14ac:dyDescent="0.3">
      <c r="A527">
        <v>1098</v>
      </c>
      <c r="B527" t="s">
        <v>1691</v>
      </c>
      <c r="C527">
        <v>75</v>
      </c>
      <c r="D527" t="s">
        <v>41</v>
      </c>
      <c r="E527" s="3">
        <v>46019</v>
      </c>
      <c r="F527" s="3" t="s">
        <v>1692</v>
      </c>
      <c r="G527" t="s">
        <v>1693</v>
      </c>
      <c r="H527" t="s">
        <v>25</v>
      </c>
      <c r="I527" t="s">
        <v>1694</v>
      </c>
      <c r="J527">
        <v>1</v>
      </c>
      <c r="K527" t="str">
        <f t="shared" si="48"/>
        <v>Allison Ramos</v>
      </c>
      <c r="L527" t="str">
        <f t="shared" si="49"/>
        <v>Female</v>
      </c>
      <c r="M527" t="str">
        <f t="shared" si="50"/>
        <v>Chase Ford</v>
      </c>
      <c r="N527" s="4" t="str">
        <f t="shared" si="51"/>
        <v>Neurology</v>
      </c>
      <c r="O527" s="6">
        <f t="shared" si="52"/>
        <v>482.2</v>
      </c>
      <c r="P527" s="4" t="str">
        <f t="shared" si="53"/>
        <v>Yes</v>
      </c>
      <c r="Q527" s="4" t="str">
        <f>IF(OR(A527="",C527="",L527="Missing",M527="Missing",O527="0.00",K527="Missing"),"Review","OK")</f>
        <v>OK</v>
      </c>
    </row>
    <row r="528" spans="1:17" x14ac:dyDescent="0.3">
      <c r="A528">
        <v>1072</v>
      </c>
      <c r="B528" t="s">
        <v>1695</v>
      </c>
      <c r="C528">
        <v>49</v>
      </c>
      <c r="D528" t="s">
        <v>16</v>
      </c>
      <c r="E528" s="3">
        <v>45742</v>
      </c>
      <c r="F528" s="3">
        <v>45689</v>
      </c>
      <c r="G528" t="s">
        <v>1696</v>
      </c>
      <c r="H528" t="s">
        <v>13</v>
      </c>
      <c r="I528" t="s">
        <v>1697</v>
      </c>
      <c r="J528" t="s">
        <v>65</v>
      </c>
      <c r="K528" t="str">
        <f t="shared" si="48"/>
        <v>Christopher Brown</v>
      </c>
      <c r="L528" t="str">
        <f t="shared" si="49"/>
        <v>Female</v>
      </c>
      <c r="M528" t="str">
        <f t="shared" si="50"/>
        <v>Henry Moore</v>
      </c>
      <c r="N528" s="4" t="str">
        <f t="shared" si="51"/>
        <v>Cardiology</v>
      </c>
      <c r="O528" s="6">
        <f t="shared" si="52"/>
        <v>92.08</v>
      </c>
      <c r="P528" s="4" t="str">
        <f t="shared" si="53"/>
        <v>No</v>
      </c>
      <c r="Q528" s="4" t="str">
        <f>IF(OR(A528="",C528="",L528="Missing",M528="Missing",O528="0.00",K528="Missing"),"Review","OK")</f>
        <v>OK</v>
      </c>
    </row>
    <row r="529" spans="1:17" x14ac:dyDescent="0.3">
      <c r="A529">
        <v>1070</v>
      </c>
      <c r="B529" t="s">
        <v>1698</v>
      </c>
      <c r="C529">
        <v>24</v>
      </c>
      <c r="D529" t="s">
        <v>23</v>
      </c>
      <c r="E529" s="3">
        <v>46052</v>
      </c>
      <c r="F529" s="3" t="s">
        <v>1692</v>
      </c>
      <c r="G529" t="s">
        <v>1699</v>
      </c>
      <c r="H529" t="s">
        <v>29</v>
      </c>
      <c r="I529" t="s">
        <v>1700</v>
      </c>
      <c r="J529" t="s">
        <v>65</v>
      </c>
      <c r="K529" t="str">
        <f t="shared" si="48"/>
        <v>Barbara Holland</v>
      </c>
      <c r="L529" t="str">
        <f t="shared" si="49"/>
        <v>Male</v>
      </c>
      <c r="M529" t="str">
        <f t="shared" si="50"/>
        <v>Chelsea Aguirre</v>
      </c>
      <c r="N529" s="4" t="str">
        <f t="shared" si="51"/>
        <v>General</v>
      </c>
      <c r="O529" s="6">
        <f t="shared" si="52"/>
        <v>439.56</v>
      </c>
      <c r="P529" s="4" t="str">
        <f t="shared" si="53"/>
        <v>No</v>
      </c>
      <c r="Q529" s="4" t="str">
        <f>IF(OR(A529="",C529="",L529="Missing",M529="Missing",O529="0.00",K529="Missing"),"Review","OK")</f>
        <v>OK</v>
      </c>
    </row>
    <row r="530" spans="1:17" x14ac:dyDescent="0.3">
      <c r="A530">
        <v>1061</v>
      </c>
      <c r="B530" t="s">
        <v>1701</v>
      </c>
      <c r="C530">
        <v>74</v>
      </c>
      <c r="D530" t="s">
        <v>11</v>
      </c>
      <c r="E530" s="3">
        <v>45901</v>
      </c>
      <c r="F530" s="3" t="s">
        <v>1702</v>
      </c>
      <c r="G530" t="s">
        <v>1703</v>
      </c>
      <c r="H530" t="s">
        <v>29</v>
      </c>
      <c r="I530" t="s">
        <v>1704</v>
      </c>
      <c r="J530" t="s">
        <v>39</v>
      </c>
      <c r="K530" t="str">
        <f t="shared" si="48"/>
        <v>Matthew Herrera</v>
      </c>
      <c r="L530" t="str">
        <f t="shared" si="49"/>
        <v>Female</v>
      </c>
      <c r="M530" t="str">
        <f t="shared" si="50"/>
        <v>Cody Murray</v>
      </c>
      <c r="N530" s="4" t="str">
        <f t="shared" si="51"/>
        <v>General</v>
      </c>
      <c r="O530" s="6">
        <f t="shared" si="52"/>
        <v>473.48</v>
      </c>
      <c r="P530" s="4" t="str">
        <f t="shared" si="53"/>
        <v>Yes</v>
      </c>
      <c r="Q530" s="4" t="str">
        <f>IF(OR(A530="",C530="",L530="Missing",M530="Missing",O530="0.00",K530="Missing"),"Review","OK")</f>
        <v>OK</v>
      </c>
    </row>
    <row r="531" spans="1:17" x14ac:dyDescent="0.3">
      <c r="A531">
        <v>1059</v>
      </c>
      <c r="B531" t="s">
        <v>1705</v>
      </c>
      <c r="C531">
        <v>35</v>
      </c>
      <c r="D531">
        <v>1</v>
      </c>
      <c r="E531" s="3">
        <v>45972</v>
      </c>
      <c r="F531" s="3">
        <v>45491</v>
      </c>
      <c r="G531" t="s">
        <v>1706</v>
      </c>
      <c r="H531" t="s">
        <v>19</v>
      </c>
      <c r="J531">
        <v>0</v>
      </c>
      <c r="K531" t="str">
        <f t="shared" si="48"/>
        <v>Valerie Vaughn</v>
      </c>
      <c r="L531" t="str">
        <f t="shared" si="49"/>
        <v>Female</v>
      </c>
      <c r="M531" t="str">
        <f t="shared" si="50"/>
        <v>Felicia Warner</v>
      </c>
      <c r="N531" s="4" t="str">
        <f t="shared" si="51"/>
        <v>Orthopedics</v>
      </c>
      <c r="O531" s="6" t="str">
        <f t="shared" si="52"/>
        <v>0.00</v>
      </c>
      <c r="P531" s="4" t="str">
        <f t="shared" si="53"/>
        <v>No</v>
      </c>
      <c r="Q531" s="4" t="str">
        <f>IF(OR(A531="",C531="",L531="Missing",M531="Missing",O531="0.00",K531="Missing"),"Review","OK")</f>
        <v>Review</v>
      </c>
    </row>
    <row r="532" spans="1:17" x14ac:dyDescent="0.3">
      <c r="A532">
        <v>1091</v>
      </c>
      <c r="B532" t="s">
        <v>1707</v>
      </c>
      <c r="C532">
        <v>85</v>
      </c>
      <c r="D532">
        <v>1</v>
      </c>
      <c r="E532" s="3">
        <v>45745</v>
      </c>
      <c r="F532" s="3">
        <v>45723</v>
      </c>
      <c r="G532" t="s">
        <v>1708</v>
      </c>
      <c r="H532" t="s">
        <v>13</v>
      </c>
      <c r="I532" t="s">
        <v>1709</v>
      </c>
      <c r="J532" t="s">
        <v>31</v>
      </c>
      <c r="K532" t="str">
        <f t="shared" si="48"/>
        <v>Tiffany Miller</v>
      </c>
      <c r="L532" t="str">
        <f t="shared" si="49"/>
        <v>Female</v>
      </c>
      <c r="M532" t="str">
        <f t="shared" si="50"/>
        <v>Melissa Bradley</v>
      </c>
      <c r="N532" s="4" t="str">
        <f t="shared" si="51"/>
        <v>Cardiology</v>
      </c>
      <c r="O532" s="6">
        <f t="shared" si="52"/>
        <v>151.02000000000001</v>
      </c>
      <c r="P532" s="4" t="str">
        <f t="shared" si="53"/>
        <v>No</v>
      </c>
      <c r="Q532" s="4" t="str">
        <f>IF(OR(A532="",C532="",L532="Missing",M532="Missing",O532="0.00",K532="Missing"),"Review","OK")</f>
        <v>OK</v>
      </c>
    </row>
    <row r="533" spans="1:17" x14ac:dyDescent="0.3">
      <c r="A533">
        <v>1003</v>
      </c>
      <c r="B533" t="s">
        <v>1710</v>
      </c>
      <c r="C533">
        <v>64</v>
      </c>
      <c r="D533" t="s">
        <v>11</v>
      </c>
      <c r="E533" s="3">
        <v>46046</v>
      </c>
      <c r="F533" s="3">
        <v>45696</v>
      </c>
      <c r="G533" t="s">
        <v>1711</v>
      </c>
      <c r="H533" t="s">
        <v>13</v>
      </c>
      <c r="I533" t="s">
        <v>1712</v>
      </c>
      <c r="J533">
        <v>0</v>
      </c>
      <c r="K533" t="str">
        <f t="shared" si="48"/>
        <v>Cassandra Cain</v>
      </c>
      <c r="L533" t="str">
        <f t="shared" si="49"/>
        <v>Female</v>
      </c>
      <c r="M533" t="str">
        <f t="shared" si="50"/>
        <v>Jessica Williams</v>
      </c>
      <c r="N533" s="4" t="str">
        <f t="shared" si="51"/>
        <v>Cardiology</v>
      </c>
      <c r="O533" s="6">
        <f t="shared" si="52"/>
        <v>79.59</v>
      </c>
      <c r="P533" s="4" t="str">
        <f t="shared" si="53"/>
        <v>No</v>
      </c>
      <c r="Q533" s="4" t="str">
        <f>IF(OR(A533="",C533="",L533="Missing",M533="Missing",O533="0.00",K533="Missing"),"Review","OK")</f>
        <v>OK</v>
      </c>
    </row>
    <row r="534" spans="1:17" x14ac:dyDescent="0.3">
      <c r="A534">
        <v>1087</v>
      </c>
      <c r="B534" t="s">
        <v>1713</v>
      </c>
      <c r="C534">
        <v>70</v>
      </c>
      <c r="D534" t="s">
        <v>11</v>
      </c>
      <c r="E534" s="3">
        <v>45912</v>
      </c>
      <c r="F534" s="3">
        <v>45446</v>
      </c>
      <c r="G534" t="s">
        <v>1714</v>
      </c>
      <c r="H534" t="s">
        <v>25</v>
      </c>
      <c r="I534" t="s">
        <v>1715</v>
      </c>
      <c r="J534" t="s">
        <v>21</v>
      </c>
      <c r="K534" t="str">
        <f t="shared" si="48"/>
        <v>Glen Arroyo</v>
      </c>
      <c r="L534" t="str">
        <f t="shared" si="49"/>
        <v>Female</v>
      </c>
      <c r="M534" t="str">
        <f t="shared" si="50"/>
        <v>Christopher Schneider</v>
      </c>
      <c r="N534" s="4" t="str">
        <f t="shared" si="51"/>
        <v>Neurology</v>
      </c>
      <c r="O534" s="6">
        <f t="shared" si="52"/>
        <v>167.31</v>
      </c>
      <c r="P534" s="4" t="str">
        <f t="shared" si="53"/>
        <v>Yes</v>
      </c>
      <c r="Q534" s="4" t="str">
        <f>IF(OR(A534="",C534="",L534="Missing",M534="Missing",O534="0.00",K534="Missing"),"Review","OK")</f>
        <v>OK</v>
      </c>
    </row>
    <row r="535" spans="1:17" x14ac:dyDescent="0.3">
      <c r="A535">
        <v>1049</v>
      </c>
      <c r="B535" t="s">
        <v>1716</v>
      </c>
      <c r="C535">
        <v>37</v>
      </c>
      <c r="E535" s="3">
        <v>45935</v>
      </c>
      <c r="F535" s="3">
        <v>45530</v>
      </c>
      <c r="G535" t="s">
        <v>1717</v>
      </c>
      <c r="H535" t="s">
        <v>25</v>
      </c>
      <c r="I535" t="s">
        <v>1718</v>
      </c>
      <c r="J535">
        <v>0</v>
      </c>
      <c r="K535" t="str">
        <f t="shared" si="48"/>
        <v>Kimberly Hill</v>
      </c>
      <c r="L535" t="str">
        <f t="shared" si="49"/>
        <v>Missing</v>
      </c>
      <c r="M535" t="str">
        <f t="shared" si="50"/>
        <v>Kenneth Long</v>
      </c>
      <c r="N535" s="4" t="str">
        <f t="shared" si="51"/>
        <v>Neurology</v>
      </c>
      <c r="O535" s="6">
        <f t="shared" si="52"/>
        <v>194.81</v>
      </c>
      <c r="P535" s="4" t="str">
        <f t="shared" si="53"/>
        <v>No</v>
      </c>
      <c r="Q535" s="4" t="str">
        <f>IF(OR(A535="",C535="",L535="Missing",M535="Missing",O535="0.00",K535="Missing"),"Review","OK")</f>
        <v>Review</v>
      </c>
    </row>
    <row r="536" spans="1:17" x14ac:dyDescent="0.3">
      <c r="A536">
        <v>1056</v>
      </c>
      <c r="B536" t="s">
        <v>1719</v>
      </c>
      <c r="C536">
        <v>24</v>
      </c>
      <c r="D536" t="s">
        <v>56</v>
      </c>
      <c r="E536" s="3" t="s">
        <v>1720</v>
      </c>
      <c r="F536" s="3">
        <v>45672</v>
      </c>
      <c r="G536" t="s">
        <v>1721</v>
      </c>
      <c r="H536" t="s">
        <v>13</v>
      </c>
      <c r="I536" t="s">
        <v>1722</v>
      </c>
      <c r="J536" t="s">
        <v>39</v>
      </c>
      <c r="K536" t="str">
        <f t="shared" si="48"/>
        <v>Erik Martinez</v>
      </c>
      <c r="L536" t="str">
        <f t="shared" si="49"/>
        <v>Male</v>
      </c>
      <c r="M536" t="str">
        <f t="shared" si="50"/>
        <v>Jennifer Carroll</v>
      </c>
      <c r="N536" s="4" t="str">
        <f t="shared" si="51"/>
        <v>Cardiology</v>
      </c>
      <c r="O536" s="6">
        <f t="shared" si="52"/>
        <v>97.67</v>
      </c>
      <c r="P536" s="4" t="str">
        <f t="shared" si="53"/>
        <v>Yes</v>
      </c>
      <c r="Q536" s="4" t="str">
        <f>IF(OR(A536="",C536="",L536="Missing",M536="Missing",O536="0.00",K536="Missing"),"Review","OK")</f>
        <v>OK</v>
      </c>
    </row>
    <row r="537" spans="1:17" x14ac:dyDescent="0.3">
      <c r="A537">
        <v>1057</v>
      </c>
      <c r="B537" t="s">
        <v>1723</v>
      </c>
      <c r="C537">
        <v>86</v>
      </c>
      <c r="D537">
        <v>0</v>
      </c>
      <c r="E537" s="3">
        <v>45819</v>
      </c>
      <c r="F537" s="3">
        <v>45563</v>
      </c>
      <c r="G537" t="s">
        <v>1724</v>
      </c>
      <c r="H537" t="s">
        <v>19</v>
      </c>
      <c r="I537" t="s">
        <v>1725</v>
      </c>
      <c r="J537" t="s">
        <v>31</v>
      </c>
      <c r="K537" t="str">
        <f t="shared" si="48"/>
        <v>Michael Bradley</v>
      </c>
      <c r="L537" t="str">
        <f t="shared" si="49"/>
        <v>Male</v>
      </c>
      <c r="M537" t="str">
        <f t="shared" si="50"/>
        <v>Carl Gomez</v>
      </c>
      <c r="N537" s="4" t="str">
        <f t="shared" si="51"/>
        <v>Orthopedics</v>
      </c>
      <c r="O537" s="6">
        <f t="shared" si="52"/>
        <v>254.91</v>
      </c>
      <c r="P537" s="4" t="str">
        <f t="shared" si="53"/>
        <v>No</v>
      </c>
      <c r="Q537" s="4" t="str">
        <f>IF(OR(A537="",C537="",L537="Missing",M537="Missing",O537="0.00",K537="Missing"),"Review","OK")</f>
        <v>OK</v>
      </c>
    </row>
    <row r="538" spans="1:17" x14ac:dyDescent="0.3">
      <c r="A538">
        <v>1054</v>
      </c>
      <c r="B538" t="s">
        <v>1726</v>
      </c>
      <c r="C538">
        <v>57</v>
      </c>
      <c r="D538" t="s">
        <v>23</v>
      </c>
      <c r="E538" s="3">
        <v>45910</v>
      </c>
      <c r="F538" s="3">
        <v>45733</v>
      </c>
      <c r="G538" t="s">
        <v>1727</v>
      </c>
      <c r="H538" t="s">
        <v>25</v>
      </c>
      <c r="I538" t="s">
        <v>1728</v>
      </c>
      <c r="J538" t="s">
        <v>31</v>
      </c>
      <c r="K538" t="str">
        <f t="shared" si="48"/>
        <v>Rebecca Carey Dds</v>
      </c>
      <c r="L538" t="str">
        <f t="shared" si="49"/>
        <v>Male</v>
      </c>
      <c r="M538" t="str">
        <f t="shared" si="50"/>
        <v>David Carter</v>
      </c>
      <c r="N538" s="4" t="str">
        <f t="shared" si="51"/>
        <v>Neurology</v>
      </c>
      <c r="O538" s="6">
        <f t="shared" si="52"/>
        <v>169.09</v>
      </c>
      <c r="P538" s="4" t="str">
        <f t="shared" si="53"/>
        <v>No</v>
      </c>
      <c r="Q538" s="4" t="str">
        <f>IF(OR(A538="",C538="",L538="Missing",M538="Missing",O538="0.00",K538="Missing"),"Review","OK")</f>
        <v>OK</v>
      </c>
    </row>
    <row r="539" spans="1:17" x14ac:dyDescent="0.3">
      <c r="A539">
        <v>1040</v>
      </c>
      <c r="B539" t="s">
        <v>1729</v>
      </c>
      <c r="C539">
        <v>20</v>
      </c>
      <c r="D539">
        <v>1</v>
      </c>
      <c r="E539" s="3" t="s">
        <v>656</v>
      </c>
      <c r="F539" s="3" t="s">
        <v>1730</v>
      </c>
      <c r="G539" t="s">
        <v>1731</v>
      </c>
      <c r="H539" t="s">
        <v>13</v>
      </c>
      <c r="J539">
        <v>0</v>
      </c>
      <c r="K539" t="str">
        <f t="shared" si="48"/>
        <v>Tammy Nelson</v>
      </c>
      <c r="L539" t="str">
        <f t="shared" si="49"/>
        <v>Female</v>
      </c>
      <c r="M539" t="str">
        <f t="shared" si="50"/>
        <v>Angel Aguilar</v>
      </c>
      <c r="N539" s="4" t="str">
        <f t="shared" si="51"/>
        <v>Cardiology</v>
      </c>
      <c r="O539" s="6" t="str">
        <f t="shared" si="52"/>
        <v>0.00</v>
      </c>
      <c r="P539" s="4" t="str">
        <f t="shared" si="53"/>
        <v>No</v>
      </c>
      <c r="Q539" s="4" t="str">
        <f>IF(OR(A539="",C539="",L539="Missing",M539="Missing",O539="0.00",K539="Missing"),"Review","OK")</f>
        <v>Review</v>
      </c>
    </row>
    <row r="540" spans="1:17" x14ac:dyDescent="0.3">
      <c r="A540">
        <v>1059</v>
      </c>
      <c r="B540" t="s">
        <v>1732</v>
      </c>
      <c r="C540">
        <v>88</v>
      </c>
      <c r="D540" t="s">
        <v>76</v>
      </c>
      <c r="E540" s="3">
        <v>45868</v>
      </c>
      <c r="F540" s="3" t="s">
        <v>1733</v>
      </c>
      <c r="G540" t="s">
        <v>1734</v>
      </c>
      <c r="H540" t="s">
        <v>29</v>
      </c>
      <c r="I540" t="s">
        <v>1735</v>
      </c>
      <c r="J540" t="s">
        <v>21</v>
      </c>
      <c r="K540" t="str">
        <f t="shared" si="48"/>
        <v>Heidi Alvarez</v>
      </c>
      <c r="L540" t="str">
        <f t="shared" si="49"/>
        <v>Male</v>
      </c>
      <c r="M540" t="str">
        <f t="shared" si="50"/>
        <v>Jeremy Wilson</v>
      </c>
      <c r="N540" s="4" t="str">
        <f t="shared" si="51"/>
        <v>General</v>
      </c>
      <c r="O540" s="6">
        <f t="shared" si="52"/>
        <v>94.19</v>
      </c>
      <c r="P540" s="4" t="str">
        <f t="shared" si="53"/>
        <v>Yes</v>
      </c>
      <c r="Q540" s="4" t="str">
        <f>IF(OR(A540="",C540="",L540="Missing",M540="Missing",O540="0.00",K540="Missing"),"Review","OK")</f>
        <v>OK</v>
      </c>
    </row>
    <row r="541" spans="1:17" x14ac:dyDescent="0.3">
      <c r="A541">
        <v>1035</v>
      </c>
      <c r="B541" t="s">
        <v>1736</v>
      </c>
      <c r="C541">
        <v>84</v>
      </c>
      <c r="D541">
        <v>0</v>
      </c>
      <c r="E541" s="3">
        <v>45939</v>
      </c>
      <c r="F541" s="3">
        <v>45787</v>
      </c>
      <c r="G541" t="s">
        <v>1737</v>
      </c>
      <c r="H541" t="s">
        <v>19</v>
      </c>
      <c r="I541" t="s">
        <v>1738</v>
      </c>
      <c r="J541" t="s">
        <v>31</v>
      </c>
      <c r="K541" t="str">
        <f t="shared" si="48"/>
        <v>Robert Edwards</v>
      </c>
      <c r="L541" t="str">
        <f t="shared" si="49"/>
        <v>Male</v>
      </c>
      <c r="M541" t="str">
        <f t="shared" si="50"/>
        <v>Ashley Gonzalez</v>
      </c>
      <c r="N541" s="4" t="str">
        <f t="shared" si="51"/>
        <v>Orthopedics</v>
      </c>
      <c r="O541" s="6">
        <f t="shared" si="52"/>
        <v>84.87</v>
      </c>
      <c r="P541" s="4" t="str">
        <f t="shared" si="53"/>
        <v>No</v>
      </c>
      <c r="Q541" s="4" t="str">
        <f>IF(OR(A541="",C541="",L541="Missing",M541="Missing",O541="0.00",K541="Missing"),"Review","OK")</f>
        <v>OK</v>
      </c>
    </row>
    <row r="542" spans="1:17" x14ac:dyDescent="0.3">
      <c r="A542">
        <v>1086</v>
      </c>
      <c r="B542" t="s">
        <v>1739</v>
      </c>
      <c r="C542">
        <v>86</v>
      </c>
      <c r="D542" t="s">
        <v>41</v>
      </c>
      <c r="E542" s="3">
        <v>45872</v>
      </c>
      <c r="F542" s="3" t="s">
        <v>1471</v>
      </c>
      <c r="G542" t="s">
        <v>1740</v>
      </c>
      <c r="H542" t="s">
        <v>19</v>
      </c>
      <c r="I542" t="s">
        <v>1741</v>
      </c>
      <c r="J542" t="s">
        <v>21</v>
      </c>
      <c r="K542" t="str">
        <f t="shared" si="48"/>
        <v>Bryan Fritz</v>
      </c>
      <c r="L542" t="str">
        <f t="shared" si="49"/>
        <v>Female</v>
      </c>
      <c r="M542" t="str">
        <f t="shared" si="50"/>
        <v>Kelsey Hernandez</v>
      </c>
      <c r="N542" s="4" t="str">
        <f t="shared" si="51"/>
        <v>Orthopedics</v>
      </c>
      <c r="O542" s="6">
        <f t="shared" si="52"/>
        <v>338.43</v>
      </c>
      <c r="P542" s="4" t="str">
        <f t="shared" si="53"/>
        <v>Yes</v>
      </c>
      <c r="Q542" s="4" t="str">
        <f>IF(OR(A542="",C542="",L542="Missing",M542="Missing",O542="0.00",K542="Missing"),"Review","OK")</f>
        <v>OK</v>
      </c>
    </row>
    <row r="543" spans="1:17" x14ac:dyDescent="0.3">
      <c r="A543">
        <v>1050</v>
      </c>
      <c r="B543" t="s">
        <v>1742</v>
      </c>
      <c r="C543">
        <v>60</v>
      </c>
      <c r="D543" t="s">
        <v>16</v>
      </c>
      <c r="E543" s="3">
        <v>45813</v>
      </c>
      <c r="F543" s="3">
        <v>45576</v>
      </c>
      <c r="G543" t="s">
        <v>1743</v>
      </c>
      <c r="H543" t="s">
        <v>29</v>
      </c>
      <c r="I543" t="s">
        <v>1744</v>
      </c>
      <c r="J543" t="s">
        <v>21</v>
      </c>
      <c r="K543" t="str">
        <f t="shared" si="48"/>
        <v>Donald Reed</v>
      </c>
      <c r="L543" t="str">
        <f t="shared" si="49"/>
        <v>Female</v>
      </c>
      <c r="M543" t="str">
        <f t="shared" si="50"/>
        <v>Danny Webster</v>
      </c>
      <c r="N543" s="4" t="str">
        <f t="shared" si="51"/>
        <v>General</v>
      </c>
      <c r="O543" s="6">
        <f t="shared" si="52"/>
        <v>453.66</v>
      </c>
      <c r="P543" s="4" t="str">
        <f t="shared" si="53"/>
        <v>Yes</v>
      </c>
      <c r="Q543" s="4" t="str">
        <f>IF(OR(A543="",C543="",L543="Missing",M543="Missing",O543="0.00",K543="Missing"),"Review","OK")</f>
        <v>OK</v>
      </c>
    </row>
    <row r="544" spans="1:17" x14ac:dyDescent="0.3">
      <c r="A544">
        <v>1024</v>
      </c>
      <c r="B544" t="s">
        <v>1745</v>
      </c>
      <c r="C544">
        <v>72</v>
      </c>
      <c r="E544" s="3">
        <v>45872</v>
      </c>
      <c r="F544" s="3">
        <v>45758</v>
      </c>
      <c r="G544" t="s">
        <v>1746</v>
      </c>
      <c r="H544" t="s">
        <v>19</v>
      </c>
      <c r="J544" t="s">
        <v>21</v>
      </c>
      <c r="K544" t="str">
        <f t="shared" si="48"/>
        <v>Alejandra Perkins</v>
      </c>
      <c r="L544" t="str">
        <f t="shared" si="49"/>
        <v>Missing</v>
      </c>
      <c r="M544" t="str">
        <f t="shared" si="50"/>
        <v>Daniel Dickerson</v>
      </c>
      <c r="N544" s="4" t="str">
        <f t="shared" si="51"/>
        <v>Orthopedics</v>
      </c>
      <c r="O544" s="6" t="str">
        <f t="shared" si="52"/>
        <v>0.00</v>
      </c>
      <c r="P544" s="4" t="str">
        <f t="shared" si="53"/>
        <v>Yes</v>
      </c>
      <c r="Q544" s="4" t="str">
        <f>IF(OR(A544="",C544="",L544="Missing",M544="Missing",O544="0.00",K544="Missing"),"Review","OK")</f>
        <v>Review</v>
      </c>
    </row>
    <row r="545" spans="1:17" x14ac:dyDescent="0.3">
      <c r="A545">
        <v>1046</v>
      </c>
      <c r="B545" t="s">
        <v>1747</v>
      </c>
      <c r="C545">
        <v>76</v>
      </c>
      <c r="D545" t="s">
        <v>23</v>
      </c>
      <c r="E545" s="3">
        <v>46028</v>
      </c>
      <c r="F545" s="3">
        <v>45732</v>
      </c>
      <c r="G545" t="s">
        <v>1748</v>
      </c>
      <c r="H545" t="s">
        <v>13</v>
      </c>
      <c r="I545" t="s">
        <v>1749</v>
      </c>
      <c r="J545">
        <v>1</v>
      </c>
      <c r="K545" t="str">
        <f t="shared" si="48"/>
        <v>Jonathan Drake</v>
      </c>
      <c r="L545" t="str">
        <f t="shared" si="49"/>
        <v>Male</v>
      </c>
      <c r="M545" t="str">
        <f t="shared" si="50"/>
        <v>Andrew Johnson</v>
      </c>
      <c r="N545" s="4" t="str">
        <f t="shared" si="51"/>
        <v>Cardiology</v>
      </c>
      <c r="O545" s="6">
        <f t="shared" si="52"/>
        <v>328.88</v>
      </c>
      <c r="P545" s="4" t="str">
        <f t="shared" si="53"/>
        <v>Yes</v>
      </c>
      <c r="Q545" s="4" t="str">
        <f>IF(OR(A545="",C545="",L545="Missing",M545="Missing",O545="0.00",K545="Missing"),"Review","OK")</f>
        <v>OK</v>
      </c>
    </row>
    <row r="546" spans="1:17" x14ac:dyDescent="0.3">
      <c r="A546">
        <v>1051</v>
      </c>
      <c r="B546" t="s">
        <v>1750</v>
      </c>
      <c r="C546">
        <v>81</v>
      </c>
      <c r="D546" t="s">
        <v>56</v>
      </c>
      <c r="E546" s="3">
        <v>46056</v>
      </c>
      <c r="F546" s="3">
        <v>45929</v>
      </c>
      <c r="G546" t="s">
        <v>1751</v>
      </c>
      <c r="H546" t="s">
        <v>25</v>
      </c>
      <c r="I546" t="s">
        <v>1752</v>
      </c>
      <c r="J546">
        <v>0</v>
      </c>
      <c r="K546" t="str">
        <f t="shared" si="48"/>
        <v>Sandra Wood</v>
      </c>
      <c r="L546" t="str">
        <f t="shared" si="49"/>
        <v>Male</v>
      </c>
      <c r="M546" t="str">
        <f t="shared" si="50"/>
        <v>Brian Armstrong</v>
      </c>
      <c r="N546" s="4" t="str">
        <f t="shared" si="51"/>
        <v>Neurology</v>
      </c>
      <c r="O546" s="6">
        <f t="shared" si="52"/>
        <v>51.93</v>
      </c>
      <c r="P546" s="4" t="str">
        <f t="shared" si="53"/>
        <v>No</v>
      </c>
      <c r="Q546" s="4" t="str">
        <f>IF(OR(A546="",C546="",L546="Missing",M546="Missing",O546="0.00",K546="Missing"),"Review","OK")</f>
        <v>OK</v>
      </c>
    </row>
    <row r="547" spans="1:17" x14ac:dyDescent="0.3">
      <c r="A547">
        <v>1014</v>
      </c>
      <c r="B547" t="s">
        <v>1753</v>
      </c>
      <c r="C547">
        <v>81</v>
      </c>
      <c r="D547" t="s">
        <v>16</v>
      </c>
      <c r="E547" s="3" t="s">
        <v>1754</v>
      </c>
      <c r="F547" s="3">
        <v>45454</v>
      </c>
      <c r="G547" t="s">
        <v>1755</v>
      </c>
      <c r="H547" t="s">
        <v>19</v>
      </c>
      <c r="I547" t="s">
        <v>1756</v>
      </c>
      <c r="J547" t="s">
        <v>21</v>
      </c>
      <c r="K547" t="str">
        <f t="shared" si="48"/>
        <v>Alexis Moody</v>
      </c>
      <c r="L547" t="str">
        <f t="shared" si="49"/>
        <v>Female</v>
      </c>
      <c r="M547" t="str">
        <f t="shared" si="50"/>
        <v>Jennifer Reyes</v>
      </c>
      <c r="N547" s="4" t="str">
        <f t="shared" si="51"/>
        <v>Orthopedics</v>
      </c>
      <c r="O547" s="6">
        <f t="shared" si="52"/>
        <v>201.8</v>
      </c>
      <c r="P547" s="4" t="str">
        <f t="shared" si="53"/>
        <v>Yes</v>
      </c>
      <c r="Q547" s="4" t="str">
        <f>IF(OR(A547="",C547="",L547="Missing",M547="Missing",O547="0.00",K547="Missing"),"Review","OK")</f>
        <v>OK</v>
      </c>
    </row>
    <row r="548" spans="1:17" x14ac:dyDescent="0.3">
      <c r="A548">
        <v>1059</v>
      </c>
      <c r="B548" t="s">
        <v>1757</v>
      </c>
      <c r="C548">
        <v>75</v>
      </c>
      <c r="D548" t="s">
        <v>11</v>
      </c>
      <c r="E548" s="3">
        <v>45762</v>
      </c>
      <c r="F548" s="3">
        <v>45444</v>
      </c>
      <c r="G548" t="s">
        <v>1758</v>
      </c>
      <c r="H548" t="s">
        <v>13</v>
      </c>
      <c r="I548" t="s">
        <v>1759</v>
      </c>
      <c r="J548" t="s">
        <v>21</v>
      </c>
      <c r="K548" t="str">
        <f t="shared" si="48"/>
        <v>Carol Williams</v>
      </c>
      <c r="L548" t="str">
        <f t="shared" si="49"/>
        <v>Female</v>
      </c>
      <c r="M548" t="str">
        <f t="shared" si="50"/>
        <v>Joshua Gomez</v>
      </c>
      <c r="N548" s="4" t="str">
        <f t="shared" si="51"/>
        <v>Cardiology</v>
      </c>
      <c r="O548" s="6">
        <f t="shared" si="52"/>
        <v>129.1</v>
      </c>
      <c r="P548" s="4" t="str">
        <f t="shared" si="53"/>
        <v>Yes</v>
      </c>
      <c r="Q548" s="4" t="str">
        <f>IF(OR(A548="",C548="",L548="Missing",M548="Missing",O548="0.00",K548="Missing"),"Review","OK")</f>
        <v>OK</v>
      </c>
    </row>
    <row r="549" spans="1:17" x14ac:dyDescent="0.3">
      <c r="A549">
        <v>1040</v>
      </c>
      <c r="B549" t="s">
        <v>1760</v>
      </c>
      <c r="C549">
        <v>77</v>
      </c>
      <c r="D549" t="s">
        <v>56</v>
      </c>
      <c r="E549" s="3">
        <v>46006</v>
      </c>
      <c r="F549" s="3">
        <v>45523</v>
      </c>
      <c r="G549" t="s">
        <v>1761</v>
      </c>
      <c r="H549" t="s">
        <v>13</v>
      </c>
      <c r="J549">
        <v>0</v>
      </c>
      <c r="K549" t="str">
        <f t="shared" si="48"/>
        <v>Kimberly Adkins</v>
      </c>
      <c r="L549" t="str">
        <f t="shared" si="49"/>
        <v>Male</v>
      </c>
      <c r="M549" t="str">
        <f t="shared" si="50"/>
        <v>Tamara Rivera</v>
      </c>
      <c r="N549" s="4" t="str">
        <f t="shared" si="51"/>
        <v>Cardiology</v>
      </c>
      <c r="O549" s="6" t="str">
        <f t="shared" si="52"/>
        <v>0.00</v>
      </c>
      <c r="P549" s="4" t="str">
        <f t="shared" si="53"/>
        <v>No</v>
      </c>
      <c r="Q549" s="4" t="str">
        <f>IF(OR(A549="",C549="",L549="Missing",M549="Missing",O549="0.00",K549="Missing"),"Review","OK")</f>
        <v>Review</v>
      </c>
    </row>
    <row r="550" spans="1:17" x14ac:dyDescent="0.3">
      <c r="A550">
        <v>1092</v>
      </c>
      <c r="B550" t="s">
        <v>1762</v>
      </c>
      <c r="C550">
        <v>74</v>
      </c>
      <c r="D550" t="s">
        <v>11</v>
      </c>
      <c r="E550" s="3">
        <v>45862</v>
      </c>
      <c r="F550" s="3">
        <v>45771</v>
      </c>
      <c r="G550" t="s">
        <v>1763</v>
      </c>
      <c r="H550" t="s">
        <v>29</v>
      </c>
      <c r="I550" t="s">
        <v>1764</v>
      </c>
      <c r="J550" t="s">
        <v>21</v>
      </c>
      <c r="K550" t="str">
        <f t="shared" si="48"/>
        <v>Tracie Jefferson</v>
      </c>
      <c r="L550" t="str">
        <f t="shared" si="49"/>
        <v>Female</v>
      </c>
      <c r="M550" t="str">
        <f t="shared" si="50"/>
        <v>Margaret Robinson</v>
      </c>
      <c r="N550" s="4" t="str">
        <f t="shared" si="51"/>
        <v>General</v>
      </c>
      <c r="O550" s="6">
        <f t="shared" si="52"/>
        <v>153.53</v>
      </c>
      <c r="P550" s="4" t="str">
        <f t="shared" si="53"/>
        <v>Yes</v>
      </c>
      <c r="Q550" s="4" t="str">
        <f>IF(OR(A550="",C550="",L550="Missing",M550="Missing",O550="0.00",K550="Missing"),"Review","OK")</f>
        <v>OK</v>
      </c>
    </row>
    <row r="551" spans="1:17" x14ac:dyDescent="0.3">
      <c r="A551">
        <v>1010</v>
      </c>
      <c r="B551" t="s">
        <v>1765</v>
      </c>
      <c r="C551">
        <v>60</v>
      </c>
      <c r="D551" t="s">
        <v>23</v>
      </c>
      <c r="E551" s="3">
        <v>46048</v>
      </c>
      <c r="F551" s="3">
        <v>45540</v>
      </c>
      <c r="G551" t="s">
        <v>1766</v>
      </c>
      <c r="H551" t="s">
        <v>13</v>
      </c>
      <c r="I551" t="s">
        <v>1767</v>
      </c>
      <c r="J551">
        <v>1</v>
      </c>
      <c r="K551" t="str">
        <f t="shared" si="48"/>
        <v>Aaron Young</v>
      </c>
      <c r="L551" t="str">
        <f t="shared" si="49"/>
        <v>Male</v>
      </c>
      <c r="M551" t="str">
        <f t="shared" si="50"/>
        <v>Wendy Cochran</v>
      </c>
      <c r="N551" s="4" t="str">
        <f t="shared" si="51"/>
        <v>Cardiology</v>
      </c>
      <c r="O551" s="6">
        <f t="shared" si="52"/>
        <v>222.33</v>
      </c>
      <c r="P551" s="4" t="str">
        <f t="shared" si="53"/>
        <v>Yes</v>
      </c>
      <c r="Q551" s="4" t="str">
        <f>IF(OR(A551="",C551="",L551="Missing",M551="Missing",O551="0.00",K551="Missing"),"Review","OK")</f>
        <v>OK</v>
      </c>
    </row>
    <row r="552" spans="1:17" x14ac:dyDescent="0.3">
      <c r="A552">
        <v>1032</v>
      </c>
      <c r="B552" t="s">
        <v>1768</v>
      </c>
      <c r="C552">
        <v>28</v>
      </c>
      <c r="D552" t="s">
        <v>23</v>
      </c>
      <c r="E552" s="3" t="s">
        <v>898</v>
      </c>
      <c r="F552" s="3">
        <v>45520</v>
      </c>
      <c r="G552" t="s">
        <v>1769</v>
      </c>
      <c r="H552" t="s">
        <v>25</v>
      </c>
      <c r="I552" t="s">
        <v>1770</v>
      </c>
      <c r="J552" t="s">
        <v>39</v>
      </c>
      <c r="K552" t="str">
        <f t="shared" si="48"/>
        <v>Terry Dennis</v>
      </c>
      <c r="L552" t="str">
        <f t="shared" si="49"/>
        <v>Male</v>
      </c>
      <c r="M552" t="str">
        <f t="shared" si="50"/>
        <v>Kelsey Scott</v>
      </c>
      <c r="N552" s="4" t="str">
        <f t="shared" si="51"/>
        <v>Neurology</v>
      </c>
      <c r="O552" s="6">
        <f t="shared" si="52"/>
        <v>403.78</v>
      </c>
      <c r="P552" s="4" t="str">
        <f t="shared" si="53"/>
        <v>Yes</v>
      </c>
      <c r="Q552" s="4" t="str">
        <f>IF(OR(A552="",C552="",L552="Missing",M552="Missing",O552="0.00",K552="Missing"),"Review","OK")</f>
        <v>OK</v>
      </c>
    </row>
    <row r="553" spans="1:17" x14ac:dyDescent="0.3">
      <c r="A553">
        <v>1020</v>
      </c>
      <c r="B553" t="s">
        <v>1771</v>
      </c>
      <c r="C553">
        <v>45</v>
      </c>
      <c r="D553" t="s">
        <v>16</v>
      </c>
      <c r="E553" s="3">
        <v>45990</v>
      </c>
      <c r="F553" s="3">
        <v>45900</v>
      </c>
      <c r="G553" t="s">
        <v>1772</v>
      </c>
      <c r="H553" t="s">
        <v>29</v>
      </c>
      <c r="I553" t="s">
        <v>1773</v>
      </c>
      <c r="J553">
        <v>0</v>
      </c>
      <c r="K553" t="str">
        <f t="shared" si="48"/>
        <v>Michael Newman Md</v>
      </c>
      <c r="L553" t="str">
        <f t="shared" si="49"/>
        <v>Female</v>
      </c>
      <c r="M553" t="str">
        <f t="shared" si="50"/>
        <v>Ronald Santos</v>
      </c>
      <c r="N553" s="4" t="str">
        <f t="shared" si="51"/>
        <v>General</v>
      </c>
      <c r="O553" s="6">
        <f t="shared" si="52"/>
        <v>343.21</v>
      </c>
      <c r="P553" s="4" t="str">
        <f t="shared" si="53"/>
        <v>No</v>
      </c>
      <c r="Q553" s="4" t="str">
        <f>IF(OR(A553="",C553="",L553="Missing",M553="Missing",O553="0.00",K553="Missing"),"Review","OK")</f>
        <v>OK</v>
      </c>
    </row>
    <row r="554" spans="1:17" x14ac:dyDescent="0.3">
      <c r="A554">
        <v>1020</v>
      </c>
      <c r="B554" t="s">
        <v>1774</v>
      </c>
      <c r="C554">
        <v>50</v>
      </c>
      <c r="D554" t="s">
        <v>23</v>
      </c>
      <c r="E554" s="3">
        <v>45887</v>
      </c>
      <c r="F554" s="3">
        <v>45794</v>
      </c>
      <c r="G554" t="s">
        <v>1775</v>
      </c>
      <c r="H554" t="s">
        <v>25</v>
      </c>
      <c r="I554" t="s">
        <v>1776</v>
      </c>
      <c r="J554">
        <v>1</v>
      </c>
      <c r="K554" t="str">
        <f t="shared" si="48"/>
        <v>Kristin Terry</v>
      </c>
      <c r="L554" t="str">
        <f t="shared" si="49"/>
        <v>Male</v>
      </c>
      <c r="M554" t="str">
        <f t="shared" si="50"/>
        <v>Michael Brown</v>
      </c>
      <c r="N554" s="4" t="str">
        <f t="shared" si="51"/>
        <v>Neurology</v>
      </c>
      <c r="O554" s="6">
        <f t="shared" si="52"/>
        <v>67.97</v>
      </c>
      <c r="P554" s="4" t="str">
        <f t="shared" si="53"/>
        <v>Yes</v>
      </c>
      <c r="Q554" s="4" t="str">
        <f>IF(OR(A554="",C554="",L554="Missing",M554="Missing",O554="0.00",K554="Missing"),"Review","OK")</f>
        <v>OK</v>
      </c>
    </row>
    <row r="555" spans="1:17" x14ac:dyDescent="0.3">
      <c r="A555">
        <v>1017</v>
      </c>
      <c r="B555" t="s">
        <v>1777</v>
      </c>
      <c r="C555">
        <v>55</v>
      </c>
      <c r="D555" t="s">
        <v>76</v>
      </c>
      <c r="E555" s="3">
        <v>45856</v>
      </c>
      <c r="F555" s="3">
        <v>45479</v>
      </c>
      <c r="G555" t="s">
        <v>1778</v>
      </c>
      <c r="H555" t="s">
        <v>29</v>
      </c>
      <c r="I555" t="s">
        <v>1779</v>
      </c>
      <c r="J555" t="s">
        <v>31</v>
      </c>
      <c r="K555" t="str">
        <f t="shared" si="48"/>
        <v>Nicole Green</v>
      </c>
      <c r="L555" t="str">
        <f t="shared" si="49"/>
        <v>Male</v>
      </c>
      <c r="M555" t="str">
        <f t="shared" si="50"/>
        <v>Charles Owens</v>
      </c>
      <c r="N555" s="4" t="str">
        <f t="shared" si="51"/>
        <v>General</v>
      </c>
      <c r="O555" s="6">
        <f t="shared" si="52"/>
        <v>365.21</v>
      </c>
      <c r="P555" s="4" t="str">
        <f t="shared" si="53"/>
        <v>No</v>
      </c>
      <c r="Q555" s="4" t="str">
        <f>IF(OR(A555="",C555="",L555="Missing",M555="Missing",O555="0.00",K555="Missing"),"Review","OK")</f>
        <v>OK</v>
      </c>
    </row>
    <row r="556" spans="1:17" x14ac:dyDescent="0.3">
      <c r="A556">
        <v>1007</v>
      </c>
      <c r="B556" t="s">
        <v>1780</v>
      </c>
      <c r="C556">
        <v>25</v>
      </c>
      <c r="D556" t="s">
        <v>11</v>
      </c>
      <c r="E556" s="3">
        <v>45996</v>
      </c>
      <c r="F556" s="3" t="s">
        <v>1781</v>
      </c>
      <c r="G556" t="s">
        <v>1782</v>
      </c>
      <c r="H556" t="s">
        <v>25</v>
      </c>
      <c r="I556" t="s">
        <v>1783</v>
      </c>
      <c r="J556">
        <v>1</v>
      </c>
      <c r="K556" t="str">
        <f t="shared" si="48"/>
        <v>Tina Cook</v>
      </c>
      <c r="L556" t="str">
        <f t="shared" si="49"/>
        <v>Female</v>
      </c>
      <c r="M556" t="str">
        <f t="shared" si="50"/>
        <v>Paul Allen</v>
      </c>
      <c r="N556" s="4" t="str">
        <f t="shared" si="51"/>
        <v>Neurology</v>
      </c>
      <c r="O556" s="6">
        <f t="shared" si="52"/>
        <v>269.52999999999997</v>
      </c>
      <c r="P556" s="4" t="str">
        <f t="shared" si="53"/>
        <v>Yes</v>
      </c>
      <c r="Q556" s="4" t="str">
        <f>IF(OR(A556="",C556="",L556="Missing",M556="Missing",O556="0.00",K556="Missing"),"Review","OK")</f>
        <v>OK</v>
      </c>
    </row>
    <row r="557" spans="1:17" x14ac:dyDescent="0.3">
      <c r="A557">
        <v>1084</v>
      </c>
      <c r="B557" t="s">
        <v>1784</v>
      </c>
      <c r="C557">
        <v>69</v>
      </c>
      <c r="D557" t="s">
        <v>23</v>
      </c>
      <c r="E557" s="3">
        <v>45743</v>
      </c>
      <c r="F557" s="3">
        <v>45390</v>
      </c>
      <c r="G557" t="s">
        <v>1785</v>
      </c>
      <c r="H557" t="s">
        <v>29</v>
      </c>
      <c r="I557" t="s">
        <v>1786</v>
      </c>
      <c r="J557" t="s">
        <v>65</v>
      </c>
      <c r="K557" t="str">
        <f t="shared" si="48"/>
        <v>Robin Donovan</v>
      </c>
      <c r="L557" t="str">
        <f t="shared" si="49"/>
        <v>Male</v>
      </c>
      <c r="M557" t="str">
        <f t="shared" si="50"/>
        <v>Brian Brown</v>
      </c>
      <c r="N557" s="4" t="str">
        <f t="shared" si="51"/>
        <v>General</v>
      </c>
      <c r="O557" s="6">
        <f t="shared" si="52"/>
        <v>163.58000000000001</v>
      </c>
      <c r="P557" s="4" t="str">
        <f t="shared" si="53"/>
        <v>No</v>
      </c>
      <c r="Q557" s="4" t="str">
        <f>IF(OR(A557="",C557="",L557="Missing",M557="Missing",O557="0.00",K557="Missing"),"Review","OK")</f>
        <v>OK</v>
      </c>
    </row>
    <row r="558" spans="1:17" x14ac:dyDescent="0.3">
      <c r="A558">
        <v>1005</v>
      </c>
      <c r="B558" t="s">
        <v>1787</v>
      </c>
      <c r="C558">
        <v>84</v>
      </c>
      <c r="D558" t="s">
        <v>41</v>
      </c>
      <c r="E558" s="3">
        <v>46027</v>
      </c>
      <c r="F558" s="3">
        <v>45968</v>
      </c>
      <c r="G558" t="s">
        <v>1788</v>
      </c>
      <c r="H558" t="s">
        <v>13</v>
      </c>
      <c r="I558" t="s">
        <v>1789</v>
      </c>
      <c r="J558" t="s">
        <v>65</v>
      </c>
      <c r="K558" t="str">
        <f t="shared" si="48"/>
        <v>Bryan Meyers</v>
      </c>
      <c r="L558" t="str">
        <f t="shared" si="49"/>
        <v>Female</v>
      </c>
      <c r="M558" t="str">
        <f t="shared" si="50"/>
        <v>Michael Trevino</v>
      </c>
      <c r="N558" s="4" t="str">
        <f t="shared" si="51"/>
        <v>Cardiology</v>
      </c>
      <c r="O558" s="6">
        <f t="shared" si="52"/>
        <v>499.36</v>
      </c>
      <c r="P558" s="4" t="str">
        <f t="shared" si="53"/>
        <v>No</v>
      </c>
      <c r="Q558" s="4" t="str">
        <f>IF(OR(A558="",C558="",L558="Missing",M558="Missing",O558="0.00",K558="Missing"),"Review","OK")</f>
        <v>OK</v>
      </c>
    </row>
    <row r="559" spans="1:17" x14ac:dyDescent="0.3">
      <c r="A559">
        <v>1011</v>
      </c>
      <c r="B559" t="s">
        <v>1790</v>
      </c>
      <c r="C559">
        <v>50</v>
      </c>
      <c r="D559" t="s">
        <v>11</v>
      </c>
      <c r="E559" s="3">
        <v>45975</v>
      </c>
      <c r="F559" s="3" t="s">
        <v>1455</v>
      </c>
      <c r="G559" t="s">
        <v>1791</v>
      </c>
      <c r="H559" t="s">
        <v>13</v>
      </c>
      <c r="I559" t="s">
        <v>1792</v>
      </c>
      <c r="J559">
        <v>0</v>
      </c>
      <c r="K559" t="str">
        <f t="shared" si="48"/>
        <v>Deanna Manning</v>
      </c>
      <c r="L559" t="str">
        <f t="shared" si="49"/>
        <v>Female</v>
      </c>
      <c r="M559" t="str">
        <f t="shared" si="50"/>
        <v>Austin Stout</v>
      </c>
      <c r="N559" s="4" t="str">
        <f t="shared" si="51"/>
        <v>Cardiology</v>
      </c>
      <c r="O559" s="6">
        <f t="shared" si="52"/>
        <v>101.37</v>
      </c>
      <c r="P559" s="4" t="str">
        <f t="shared" si="53"/>
        <v>No</v>
      </c>
      <c r="Q559" s="4" t="str">
        <f>IF(OR(A559="",C559="",L559="Missing",M559="Missing",O559="0.00",K559="Missing"),"Review","OK")</f>
        <v>OK</v>
      </c>
    </row>
    <row r="560" spans="1:17" x14ac:dyDescent="0.3">
      <c r="A560">
        <v>1085</v>
      </c>
      <c r="B560" t="s">
        <v>1793</v>
      </c>
      <c r="C560">
        <v>28</v>
      </c>
      <c r="D560" t="s">
        <v>11</v>
      </c>
      <c r="E560" s="3">
        <v>46237</v>
      </c>
      <c r="F560" s="3">
        <v>45516</v>
      </c>
      <c r="G560" t="s">
        <v>1794</v>
      </c>
      <c r="H560" t="s">
        <v>19</v>
      </c>
      <c r="J560">
        <v>0</v>
      </c>
      <c r="K560" t="str">
        <f t="shared" si="48"/>
        <v>Linda Miller</v>
      </c>
      <c r="L560" t="str">
        <f t="shared" si="49"/>
        <v>Female</v>
      </c>
      <c r="M560" t="str">
        <f t="shared" si="50"/>
        <v>Patricia White</v>
      </c>
      <c r="N560" s="4" t="str">
        <f t="shared" si="51"/>
        <v>Orthopedics</v>
      </c>
      <c r="O560" s="6" t="str">
        <f t="shared" si="52"/>
        <v>0.00</v>
      </c>
      <c r="P560" s="4" t="str">
        <f t="shared" si="53"/>
        <v>No</v>
      </c>
      <c r="Q560" s="4" t="str">
        <f>IF(OR(A560="",C560="",L560="Missing",M560="Missing",O560="0.00",K560="Missing"),"Review","OK")</f>
        <v>Review</v>
      </c>
    </row>
    <row r="561" spans="1:17" x14ac:dyDescent="0.3">
      <c r="A561">
        <v>1005</v>
      </c>
      <c r="B561" t="s">
        <v>1795</v>
      </c>
      <c r="C561">
        <v>24</v>
      </c>
      <c r="D561" t="s">
        <v>41</v>
      </c>
      <c r="E561" s="3">
        <v>45821</v>
      </c>
      <c r="F561" s="3">
        <v>45449</v>
      </c>
      <c r="G561" t="s">
        <v>1796</v>
      </c>
      <c r="H561" t="s">
        <v>13</v>
      </c>
      <c r="I561" t="s">
        <v>1797</v>
      </c>
      <c r="J561" t="s">
        <v>65</v>
      </c>
      <c r="K561" t="str">
        <f t="shared" si="48"/>
        <v>Kathryn Bell</v>
      </c>
      <c r="L561" t="str">
        <f t="shared" si="49"/>
        <v>Female</v>
      </c>
      <c r="M561" t="str">
        <f t="shared" si="50"/>
        <v>Andre Carter</v>
      </c>
      <c r="N561" s="4" t="str">
        <f t="shared" si="51"/>
        <v>Cardiology</v>
      </c>
      <c r="O561" s="6">
        <f t="shared" si="52"/>
        <v>442.72</v>
      </c>
      <c r="P561" s="4" t="str">
        <f t="shared" si="53"/>
        <v>No</v>
      </c>
      <c r="Q561" s="4" t="str">
        <f>IF(OR(A561="",C561="",L561="Missing",M561="Missing",O561="0.00",K561="Missing"),"Review","OK")</f>
        <v>OK</v>
      </c>
    </row>
    <row r="562" spans="1:17" x14ac:dyDescent="0.3">
      <c r="A562">
        <v>1079</v>
      </c>
      <c r="B562" t="s">
        <v>1798</v>
      </c>
      <c r="C562">
        <v>52</v>
      </c>
      <c r="D562" t="s">
        <v>23</v>
      </c>
      <c r="E562" s="3">
        <v>45977</v>
      </c>
      <c r="F562" s="3" t="s">
        <v>365</v>
      </c>
      <c r="G562" t="s">
        <v>1799</v>
      </c>
      <c r="H562" t="s">
        <v>13</v>
      </c>
      <c r="I562" t="s">
        <v>1800</v>
      </c>
      <c r="J562">
        <v>0</v>
      </c>
      <c r="K562" t="str">
        <f t="shared" si="48"/>
        <v>Patrick Ewing</v>
      </c>
      <c r="L562" t="str">
        <f t="shared" si="49"/>
        <v>Male</v>
      </c>
      <c r="M562" t="str">
        <f t="shared" si="50"/>
        <v>Alexander Jackson</v>
      </c>
      <c r="N562" s="4" t="str">
        <f t="shared" si="51"/>
        <v>Cardiology</v>
      </c>
      <c r="O562" s="6">
        <f t="shared" si="52"/>
        <v>224.89</v>
      </c>
      <c r="P562" s="4" t="str">
        <f t="shared" si="53"/>
        <v>No</v>
      </c>
      <c r="Q562" s="4" t="str">
        <f>IF(OR(A562="",C562="",L562="Missing",M562="Missing",O562="0.00",K562="Missing"),"Review","OK")</f>
        <v>OK</v>
      </c>
    </row>
    <row r="563" spans="1:17" x14ac:dyDescent="0.3">
      <c r="A563">
        <v>1090</v>
      </c>
      <c r="B563" t="s">
        <v>1801</v>
      </c>
      <c r="C563">
        <v>53</v>
      </c>
      <c r="D563">
        <v>1</v>
      </c>
      <c r="E563" s="3">
        <v>46068</v>
      </c>
      <c r="F563" s="3">
        <v>45774</v>
      </c>
      <c r="G563" t="s">
        <v>1802</v>
      </c>
      <c r="H563" t="s">
        <v>19</v>
      </c>
      <c r="I563" t="s">
        <v>1803</v>
      </c>
      <c r="J563" t="s">
        <v>21</v>
      </c>
      <c r="K563" t="str">
        <f t="shared" si="48"/>
        <v>Steven Henderson</v>
      </c>
      <c r="L563" t="str">
        <f t="shared" si="49"/>
        <v>Female</v>
      </c>
      <c r="M563" t="str">
        <f t="shared" si="50"/>
        <v>Nicole Martinez</v>
      </c>
      <c r="N563" s="4" t="str">
        <f t="shared" si="51"/>
        <v>Orthopedics</v>
      </c>
      <c r="O563" s="6">
        <f t="shared" si="52"/>
        <v>163.4</v>
      </c>
      <c r="P563" s="4" t="str">
        <f t="shared" si="53"/>
        <v>Yes</v>
      </c>
      <c r="Q563" s="4" t="str">
        <f>IF(OR(A563="",C563="",L563="Missing",M563="Missing",O563="0.00",K563="Missing"),"Review","OK")</f>
        <v>OK</v>
      </c>
    </row>
    <row r="564" spans="1:17" x14ac:dyDescent="0.3">
      <c r="A564">
        <v>1068</v>
      </c>
      <c r="B564" t="s">
        <v>1804</v>
      </c>
      <c r="C564">
        <v>59</v>
      </c>
      <c r="D564">
        <v>1</v>
      </c>
      <c r="E564" s="3" t="s">
        <v>1805</v>
      </c>
      <c r="F564" s="3">
        <v>45492</v>
      </c>
      <c r="G564" t="s">
        <v>1806</v>
      </c>
      <c r="H564" t="s">
        <v>13</v>
      </c>
      <c r="I564" t="s">
        <v>1807</v>
      </c>
      <c r="J564" t="s">
        <v>65</v>
      </c>
      <c r="K564" t="str">
        <f t="shared" si="48"/>
        <v>Michael Marquez</v>
      </c>
      <c r="L564" t="str">
        <f t="shared" si="49"/>
        <v>Female</v>
      </c>
      <c r="M564" t="str">
        <f t="shared" si="50"/>
        <v>Mr. Curtis Ortiz</v>
      </c>
      <c r="N564" s="4" t="str">
        <f t="shared" si="51"/>
        <v>Cardiology</v>
      </c>
      <c r="O564" s="6">
        <f t="shared" si="52"/>
        <v>202.98</v>
      </c>
      <c r="P564" s="4" t="str">
        <f t="shared" si="53"/>
        <v>No</v>
      </c>
      <c r="Q564" s="4" t="str">
        <f>IF(OR(A564="",C564="",L564="Missing",M564="Missing",O564="0.00",K564="Missing"),"Review","OK")</f>
        <v>OK</v>
      </c>
    </row>
    <row r="565" spans="1:17" x14ac:dyDescent="0.3">
      <c r="A565">
        <v>1047</v>
      </c>
      <c r="B565" t="s">
        <v>1808</v>
      </c>
      <c r="C565">
        <v>31</v>
      </c>
      <c r="D565" t="s">
        <v>11</v>
      </c>
      <c r="E565" s="3">
        <v>45752</v>
      </c>
      <c r="F565" s="3">
        <v>45509</v>
      </c>
      <c r="G565" t="s">
        <v>1809</v>
      </c>
      <c r="H565" t="s">
        <v>13</v>
      </c>
      <c r="I565" t="s">
        <v>1810</v>
      </c>
      <c r="J565" t="s">
        <v>65</v>
      </c>
      <c r="K565" t="str">
        <f t="shared" si="48"/>
        <v>Brittany Thompson</v>
      </c>
      <c r="L565" t="str">
        <f t="shared" si="49"/>
        <v>Female</v>
      </c>
      <c r="M565" t="str">
        <f t="shared" si="50"/>
        <v>Wendy Davis</v>
      </c>
      <c r="N565" s="4" t="str">
        <f t="shared" si="51"/>
        <v>Cardiology</v>
      </c>
      <c r="O565" s="6">
        <f t="shared" si="52"/>
        <v>257.10000000000002</v>
      </c>
      <c r="P565" s="4" t="str">
        <f t="shared" si="53"/>
        <v>No</v>
      </c>
      <c r="Q565" s="4" t="str">
        <f>IF(OR(A565="",C565="",L565="Missing",M565="Missing",O565="0.00",K565="Missing"),"Review","OK")</f>
        <v>OK</v>
      </c>
    </row>
    <row r="566" spans="1:17" x14ac:dyDescent="0.3">
      <c r="A566">
        <v>1009</v>
      </c>
      <c r="B566" t="s">
        <v>1811</v>
      </c>
      <c r="C566">
        <v>74</v>
      </c>
      <c r="D566" t="s">
        <v>76</v>
      </c>
      <c r="E566" s="3" t="s">
        <v>1812</v>
      </c>
      <c r="F566" s="3" t="s">
        <v>1813</v>
      </c>
      <c r="G566" t="s">
        <v>1814</v>
      </c>
      <c r="H566" t="s">
        <v>13</v>
      </c>
      <c r="I566" t="s">
        <v>1815</v>
      </c>
      <c r="J566" t="s">
        <v>31</v>
      </c>
      <c r="K566" t="str">
        <f t="shared" si="48"/>
        <v>Tracy Perez</v>
      </c>
      <c r="L566" t="str">
        <f t="shared" si="49"/>
        <v>Male</v>
      </c>
      <c r="M566" t="str">
        <f t="shared" si="50"/>
        <v>Lauren Rosario</v>
      </c>
      <c r="N566" s="4" t="str">
        <f t="shared" si="51"/>
        <v>Cardiology</v>
      </c>
      <c r="O566" s="6">
        <f t="shared" si="52"/>
        <v>466.87</v>
      </c>
      <c r="P566" s="4" t="str">
        <f t="shared" si="53"/>
        <v>No</v>
      </c>
      <c r="Q566" s="4" t="str">
        <f>IF(OR(A566="",C566="",L566="Missing",M566="Missing",O566="0.00",K566="Missing"),"Review","OK")</f>
        <v>OK</v>
      </c>
    </row>
    <row r="567" spans="1:17" x14ac:dyDescent="0.3">
      <c r="A567">
        <v>1084</v>
      </c>
      <c r="B567" t="s">
        <v>1816</v>
      </c>
      <c r="C567">
        <v>83</v>
      </c>
      <c r="D567" t="s">
        <v>23</v>
      </c>
      <c r="E567" s="3">
        <v>46055</v>
      </c>
      <c r="F567" s="3" t="s">
        <v>1430</v>
      </c>
      <c r="G567" t="s">
        <v>1817</v>
      </c>
      <c r="H567" t="s">
        <v>29</v>
      </c>
      <c r="J567">
        <v>0</v>
      </c>
      <c r="K567" t="str">
        <f t="shared" si="48"/>
        <v>Morgan Torres</v>
      </c>
      <c r="L567" t="str">
        <f t="shared" si="49"/>
        <v>Male</v>
      </c>
      <c r="M567" t="str">
        <f t="shared" si="50"/>
        <v>April Lyons</v>
      </c>
      <c r="N567" s="4" t="str">
        <f t="shared" si="51"/>
        <v>General</v>
      </c>
      <c r="O567" s="6" t="str">
        <f t="shared" si="52"/>
        <v>0.00</v>
      </c>
      <c r="P567" s="4" t="str">
        <f t="shared" si="53"/>
        <v>No</v>
      </c>
      <c r="Q567" s="4" t="str">
        <f>IF(OR(A567="",C567="",L567="Missing",M567="Missing",O567="0.00",K567="Missing"),"Review","OK")</f>
        <v>Review</v>
      </c>
    </row>
    <row r="568" spans="1:17" x14ac:dyDescent="0.3">
      <c r="A568">
        <v>1016</v>
      </c>
      <c r="B568" t="s">
        <v>1818</v>
      </c>
      <c r="C568">
        <v>31</v>
      </c>
      <c r="D568">
        <v>1</v>
      </c>
      <c r="E568" s="3">
        <v>45957</v>
      </c>
      <c r="F568" s="3">
        <v>45728</v>
      </c>
      <c r="G568" t="s">
        <v>1819</v>
      </c>
      <c r="H568" t="s">
        <v>19</v>
      </c>
      <c r="I568" t="s">
        <v>1820</v>
      </c>
      <c r="J568" t="s">
        <v>21</v>
      </c>
      <c r="K568" t="str">
        <f t="shared" si="48"/>
        <v>Jessica Price</v>
      </c>
      <c r="L568" t="str">
        <f t="shared" si="49"/>
        <v>Female</v>
      </c>
      <c r="M568" t="str">
        <f t="shared" si="50"/>
        <v>Justin Rice</v>
      </c>
      <c r="N568" s="4" t="str">
        <f t="shared" si="51"/>
        <v>Orthopedics</v>
      </c>
      <c r="O568" s="6">
        <f t="shared" si="52"/>
        <v>490.78</v>
      </c>
      <c r="P568" s="4" t="str">
        <f t="shared" si="53"/>
        <v>Yes</v>
      </c>
      <c r="Q568" s="4" t="str">
        <f>IF(OR(A568="",C568="",L568="Missing",M568="Missing",O568="0.00",K568="Missing"),"Review","OK")</f>
        <v>OK</v>
      </c>
    </row>
    <row r="569" spans="1:17" x14ac:dyDescent="0.3">
      <c r="A569">
        <v>1068</v>
      </c>
      <c r="B569" t="s">
        <v>1821</v>
      </c>
      <c r="C569">
        <v>63</v>
      </c>
      <c r="D569" t="s">
        <v>56</v>
      </c>
      <c r="E569" s="3">
        <v>45698</v>
      </c>
      <c r="F569" s="3">
        <v>45449</v>
      </c>
      <c r="G569" t="s">
        <v>1822</v>
      </c>
      <c r="H569" t="s">
        <v>29</v>
      </c>
      <c r="I569" t="s">
        <v>1823</v>
      </c>
      <c r="J569" t="s">
        <v>65</v>
      </c>
      <c r="K569" t="str">
        <f t="shared" si="48"/>
        <v>Kayla Williams</v>
      </c>
      <c r="L569" t="str">
        <f t="shared" si="49"/>
        <v>Male</v>
      </c>
      <c r="M569" t="str">
        <f t="shared" si="50"/>
        <v>Aaron Cooper</v>
      </c>
      <c r="N569" s="4" t="str">
        <f t="shared" si="51"/>
        <v>General</v>
      </c>
      <c r="O569" s="6">
        <f t="shared" si="52"/>
        <v>217.86</v>
      </c>
      <c r="P569" s="4" t="str">
        <f t="shared" si="53"/>
        <v>No</v>
      </c>
      <c r="Q569" s="4" t="str">
        <f>IF(OR(A569="",C569="",L569="Missing",M569="Missing",O569="0.00",K569="Missing"),"Review","OK")</f>
        <v>OK</v>
      </c>
    </row>
    <row r="570" spans="1:17" x14ac:dyDescent="0.3">
      <c r="A570">
        <v>1048</v>
      </c>
      <c r="B570" t="s">
        <v>1824</v>
      </c>
      <c r="C570">
        <v>47</v>
      </c>
      <c r="D570" t="s">
        <v>16</v>
      </c>
      <c r="E570" s="3">
        <v>45875</v>
      </c>
      <c r="F570" s="3">
        <v>45859</v>
      </c>
      <c r="G570" t="s">
        <v>1825</v>
      </c>
      <c r="H570" t="s">
        <v>25</v>
      </c>
      <c r="I570" t="s">
        <v>1826</v>
      </c>
      <c r="J570" t="s">
        <v>39</v>
      </c>
      <c r="K570" t="str">
        <f t="shared" si="48"/>
        <v>Victoria Young</v>
      </c>
      <c r="L570" t="str">
        <f t="shared" si="49"/>
        <v>Female</v>
      </c>
      <c r="M570" t="str">
        <f t="shared" si="50"/>
        <v>Lauren Whitaker</v>
      </c>
      <c r="N570" s="4" t="str">
        <f t="shared" si="51"/>
        <v>Neurology</v>
      </c>
      <c r="O570" s="6">
        <f t="shared" si="52"/>
        <v>174.04</v>
      </c>
      <c r="P570" s="4" t="str">
        <f t="shared" si="53"/>
        <v>Yes</v>
      </c>
      <c r="Q570" s="4" t="str">
        <f>IF(OR(A570="",C570="",L570="Missing",M570="Missing",O570="0.00",K570="Missing"),"Review","OK")</f>
        <v>OK</v>
      </c>
    </row>
    <row r="571" spans="1:17" x14ac:dyDescent="0.3">
      <c r="A571">
        <v>1080</v>
      </c>
      <c r="B571" t="s">
        <v>1827</v>
      </c>
      <c r="C571">
        <v>52</v>
      </c>
      <c r="D571" t="s">
        <v>23</v>
      </c>
      <c r="E571" s="3">
        <v>45881</v>
      </c>
      <c r="F571" s="3" t="s">
        <v>1828</v>
      </c>
      <c r="G571" t="s">
        <v>1829</v>
      </c>
      <c r="H571" t="s">
        <v>19</v>
      </c>
      <c r="I571" t="s">
        <v>1830</v>
      </c>
      <c r="J571" t="s">
        <v>31</v>
      </c>
      <c r="K571" t="str">
        <f t="shared" si="48"/>
        <v>Roger Hatfield</v>
      </c>
      <c r="L571" t="str">
        <f t="shared" si="49"/>
        <v>Male</v>
      </c>
      <c r="M571" t="str">
        <f t="shared" si="50"/>
        <v>Victoria Lopez</v>
      </c>
      <c r="N571" s="4" t="str">
        <f t="shared" si="51"/>
        <v>Orthopedics</v>
      </c>
      <c r="O571" s="6">
        <f t="shared" si="52"/>
        <v>196.21</v>
      </c>
      <c r="P571" s="4" t="str">
        <f t="shared" si="53"/>
        <v>No</v>
      </c>
      <c r="Q571" s="4" t="str">
        <f>IF(OR(A571="",C571="",L571="Missing",M571="Missing",O571="0.00",K571="Missing"),"Review","OK")</f>
        <v>OK</v>
      </c>
    </row>
    <row r="572" spans="1:17" x14ac:dyDescent="0.3">
      <c r="A572">
        <v>1030</v>
      </c>
      <c r="B572" t="s">
        <v>1831</v>
      </c>
      <c r="C572">
        <v>66</v>
      </c>
      <c r="D572" t="s">
        <v>11</v>
      </c>
      <c r="E572" s="3">
        <v>45953</v>
      </c>
      <c r="F572" s="3">
        <v>45437</v>
      </c>
      <c r="G572" t="s">
        <v>1832</v>
      </c>
      <c r="H572" t="s">
        <v>13</v>
      </c>
      <c r="I572" t="s">
        <v>1833</v>
      </c>
      <c r="J572" t="s">
        <v>21</v>
      </c>
      <c r="K572" t="str">
        <f t="shared" si="48"/>
        <v>Robert Lewis</v>
      </c>
      <c r="L572" t="str">
        <f t="shared" si="49"/>
        <v>Female</v>
      </c>
      <c r="M572" t="str">
        <f t="shared" si="50"/>
        <v>Samantha Cameron</v>
      </c>
      <c r="N572" s="4" t="str">
        <f t="shared" si="51"/>
        <v>Cardiology</v>
      </c>
      <c r="O572" s="6">
        <f t="shared" si="52"/>
        <v>490.08</v>
      </c>
      <c r="P572" s="4" t="str">
        <f t="shared" si="53"/>
        <v>Yes</v>
      </c>
      <c r="Q572" s="4" t="str">
        <f>IF(OR(A572="",C572="",L572="Missing",M572="Missing",O572="0.00",K572="Missing"),"Review","OK")</f>
        <v>OK</v>
      </c>
    </row>
    <row r="573" spans="1:17" x14ac:dyDescent="0.3">
      <c r="A573">
        <v>1003</v>
      </c>
      <c r="B573" t="s">
        <v>1834</v>
      </c>
      <c r="C573">
        <v>48</v>
      </c>
      <c r="D573" t="s">
        <v>56</v>
      </c>
      <c r="E573" s="3">
        <v>45863</v>
      </c>
      <c r="F573" s="3" t="s">
        <v>1835</v>
      </c>
      <c r="G573" t="s">
        <v>1836</v>
      </c>
      <c r="H573" t="s">
        <v>19</v>
      </c>
      <c r="I573" t="s">
        <v>1837</v>
      </c>
      <c r="J573" t="s">
        <v>65</v>
      </c>
      <c r="K573" t="str">
        <f t="shared" si="48"/>
        <v>Jeremiah Perez</v>
      </c>
      <c r="L573" t="str">
        <f t="shared" si="49"/>
        <v>Male</v>
      </c>
      <c r="M573" t="str">
        <f t="shared" si="50"/>
        <v>Michael Black</v>
      </c>
      <c r="N573" s="4" t="str">
        <f t="shared" si="51"/>
        <v>Orthopedics</v>
      </c>
      <c r="O573" s="6">
        <f t="shared" si="52"/>
        <v>91.94</v>
      </c>
      <c r="P573" s="4" t="str">
        <f t="shared" si="53"/>
        <v>No</v>
      </c>
      <c r="Q573" s="4" t="str">
        <f>IF(OR(A573="",C573="",L573="Missing",M573="Missing",O573="0.00",K573="Missing"),"Review","OK")</f>
        <v>OK</v>
      </c>
    </row>
    <row r="574" spans="1:17" x14ac:dyDescent="0.3">
      <c r="A574">
        <v>1047</v>
      </c>
      <c r="B574" t="s">
        <v>1838</v>
      </c>
      <c r="C574">
        <v>74</v>
      </c>
      <c r="D574">
        <v>0</v>
      </c>
      <c r="E574" s="3">
        <v>45949</v>
      </c>
      <c r="F574" s="3">
        <v>45511</v>
      </c>
      <c r="G574" t="s">
        <v>1839</v>
      </c>
      <c r="H574" t="s">
        <v>19</v>
      </c>
      <c r="I574" t="s">
        <v>1840</v>
      </c>
      <c r="J574">
        <v>1</v>
      </c>
      <c r="K574" t="str">
        <f t="shared" si="48"/>
        <v>Haley Mcintosh</v>
      </c>
      <c r="L574" t="str">
        <f t="shared" si="49"/>
        <v>Male</v>
      </c>
      <c r="M574" t="str">
        <f t="shared" si="50"/>
        <v>Amanda Boyd</v>
      </c>
      <c r="N574" s="4" t="str">
        <f t="shared" si="51"/>
        <v>Orthopedics</v>
      </c>
      <c r="O574" s="6">
        <f t="shared" si="52"/>
        <v>484.82</v>
      </c>
      <c r="P574" s="4" t="str">
        <f t="shared" si="53"/>
        <v>Yes</v>
      </c>
      <c r="Q574" s="4" t="str">
        <f>IF(OR(A574="",C574="",L574="Missing",M574="Missing",O574="0.00",K574="Missing"),"Review","OK")</f>
        <v>OK</v>
      </c>
    </row>
    <row r="575" spans="1:17" x14ac:dyDescent="0.3">
      <c r="A575">
        <v>1075</v>
      </c>
      <c r="B575" t="s">
        <v>1841</v>
      </c>
      <c r="C575">
        <v>72</v>
      </c>
      <c r="D575">
        <v>1</v>
      </c>
      <c r="E575" s="3" t="s">
        <v>970</v>
      </c>
      <c r="F575" s="3">
        <v>45527</v>
      </c>
      <c r="G575" t="s">
        <v>1842</v>
      </c>
      <c r="H575" t="s">
        <v>25</v>
      </c>
      <c r="I575" t="s">
        <v>1843</v>
      </c>
      <c r="J575">
        <v>1</v>
      </c>
      <c r="K575" t="str">
        <f t="shared" si="48"/>
        <v>Kathy Rhodes</v>
      </c>
      <c r="L575" t="str">
        <f t="shared" si="49"/>
        <v>Female</v>
      </c>
      <c r="M575" t="str">
        <f t="shared" si="50"/>
        <v>Rachel Bright</v>
      </c>
      <c r="N575" s="4" t="str">
        <f t="shared" si="51"/>
        <v>Neurology</v>
      </c>
      <c r="O575" s="6">
        <f t="shared" si="52"/>
        <v>175.26</v>
      </c>
      <c r="P575" s="4" t="str">
        <f t="shared" si="53"/>
        <v>Yes</v>
      </c>
      <c r="Q575" s="4" t="str">
        <f>IF(OR(A575="",C575="",L575="Missing",M575="Missing",O575="0.00",K575="Missing"),"Review","OK")</f>
        <v>OK</v>
      </c>
    </row>
    <row r="576" spans="1:17" x14ac:dyDescent="0.3">
      <c r="A576">
        <v>1072</v>
      </c>
      <c r="B576" t="s">
        <v>1844</v>
      </c>
      <c r="C576">
        <v>49</v>
      </c>
      <c r="D576">
        <v>0</v>
      </c>
      <c r="E576" s="3">
        <v>45760</v>
      </c>
      <c r="F576" s="3">
        <v>45570</v>
      </c>
      <c r="G576" t="s">
        <v>1845</v>
      </c>
      <c r="H576" t="s">
        <v>19</v>
      </c>
      <c r="I576" t="s">
        <v>1846</v>
      </c>
      <c r="J576" t="s">
        <v>65</v>
      </c>
      <c r="K576" t="str">
        <f t="shared" si="48"/>
        <v>Louis Craig</v>
      </c>
      <c r="L576" t="str">
        <f t="shared" si="49"/>
        <v>Male</v>
      </c>
      <c r="M576" t="str">
        <f t="shared" si="50"/>
        <v>Rachel Wood</v>
      </c>
      <c r="N576" s="4" t="str">
        <f t="shared" si="51"/>
        <v>Orthopedics</v>
      </c>
      <c r="O576" s="6">
        <f t="shared" si="52"/>
        <v>484.93</v>
      </c>
      <c r="P576" s="4" t="str">
        <f t="shared" si="53"/>
        <v>No</v>
      </c>
      <c r="Q576" s="4" t="str">
        <f>IF(OR(A576="",C576="",L576="Missing",M576="Missing",O576="0.00",K576="Missing"),"Review","OK")</f>
        <v>OK</v>
      </c>
    </row>
    <row r="577" spans="1:17" x14ac:dyDescent="0.3">
      <c r="A577">
        <v>1001</v>
      </c>
      <c r="B577" t="s">
        <v>1847</v>
      </c>
      <c r="C577">
        <v>33</v>
      </c>
      <c r="D577" t="s">
        <v>16</v>
      </c>
      <c r="E577" s="3">
        <v>45975</v>
      </c>
      <c r="F577" s="3">
        <v>45906</v>
      </c>
      <c r="G577" t="s">
        <v>1848</v>
      </c>
      <c r="H577" t="s">
        <v>25</v>
      </c>
      <c r="I577" t="s">
        <v>1849</v>
      </c>
      <c r="J577" t="s">
        <v>31</v>
      </c>
      <c r="K577" t="str">
        <f t="shared" si="48"/>
        <v>Jenny Black</v>
      </c>
      <c r="L577" t="str">
        <f t="shared" si="49"/>
        <v>Female</v>
      </c>
      <c r="M577" t="str">
        <f t="shared" si="50"/>
        <v>Jamie Nunez</v>
      </c>
      <c r="N577" s="4" t="str">
        <f t="shared" si="51"/>
        <v>Neurology</v>
      </c>
      <c r="O577" s="6">
        <f t="shared" si="52"/>
        <v>381.93</v>
      </c>
      <c r="P577" s="4" t="str">
        <f t="shared" si="53"/>
        <v>No</v>
      </c>
      <c r="Q577" s="4" t="str">
        <f>IF(OR(A577="",C577="",L577="Missing",M577="Missing",O577="0.00",K577="Missing"),"Review","OK")</f>
        <v>OK</v>
      </c>
    </row>
    <row r="578" spans="1:17" x14ac:dyDescent="0.3">
      <c r="A578">
        <v>1009</v>
      </c>
      <c r="B578" t="s">
        <v>1850</v>
      </c>
      <c r="C578">
        <v>61</v>
      </c>
      <c r="D578">
        <v>1</v>
      </c>
      <c r="E578" s="3">
        <v>46023</v>
      </c>
      <c r="F578" s="3" t="s">
        <v>184</v>
      </c>
      <c r="G578" t="s">
        <v>1851</v>
      </c>
      <c r="H578" t="s">
        <v>29</v>
      </c>
      <c r="I578" t="s">
        <v>1852</v>
      </c>
      <c r="J578" t="s">
        <v>65</v>
      </c>
      <c r="K578" t="str">
        <f t="shared" ref="K578:K641" si="54">PROPER(TRIM(CLEAN(B578)))</f>
        <v>Sarah Davis</v>
      </c>
      <c r="L578" t="str">
        <f t="shared" ref="L578:L641" si="55">_xlfn.LET(_xlpm.x,LOWER(TRIM(D578)),
IF(OR(_xlpm.x="f",_xlpm.x="female",_xlpm.x="1"),"Female",
IF(OR(_xlpm.x="m",_xlpm.x="male",_xlpm.x="0"),"Male",
IF(_xlpm.x="","Missing","Review"))))</f>
        <v>Female</v>
      </c>
      <c r="M578" t="str">
        <f t="shared" ref="M578:M641" si="56">PROPER(TRIM(CLEAN(G578)))</f>
        <v>Rebecca Thompson</v>
      </c>
      <c r="N578" s="4" t="str">
        <f t="shared" ref="N578:N641" si="57">PROPER(TRIM(CLEAN(H578)))</f>
        <v>General</v>
      </c>
      <c r="O578" s="6">
        <f t="shared" ref="O578:O641" si="58">_xlfn.LET(_xlpm.x,TRIM(I578),IF(_xlpm.x="","0.00",IFERROR(VALUE(SUBSTITUTE(SUBSTITUTE(SUBSTITUTE(SUBSTITUTE(SUBSTITUTE(SUBSTITUTE(_xlpm.x,"Â£",""),"â‚¬",""),"$",""),"Rs",""),"£",""),"€","")),"0.00")))</f>
        <v>402.6</v>
      </c>
      <c r="P578" s="4" t="str">
        <f t="shared" ref="P578:P641" si="59">_xlfn.LET(_xlpm.x,LOWER(TRIM(J578)),
IF(OR(_xlpm.x="y",_xlpm.x="yes",_xlpm.x="1"),"Yes",
IF(OR(_xlpm.x="n",_xlpm.x="no",_xlpm.x="0"),"No",
IF(_xlpm.x="","Missing","Review"))))</f>
        <v>No</v>
      </c>
      <c r="Q578" s="4" t="str">
        <f>IF(OR(A578="",C578="",L578="Missing",M578="Missing",O578="0.00",K578="Missing"),"Review","OK")</f>
        <v>OK</v>
      </c>
    </row>
    <row r="579" spans="1:17" x14ac:dyDescent="0.3">
      <c r="A579">
        <v>1016</v>
      </c>
      <c r="B579" t="s">
        <v>1853</v>
      </c>
      <c r="C579">
        <v>29</v>
      </c>
      <c r="D579" t="s">
        <v>56</v>
      </c>
      <c r="E579" s="3">
        <v>45971</v>
      </c>
      <c r="F579" s="3">
        <v>45794</v>
      </c>
      <c r="G579" t="s">
        <v>1854</v>
      </c>
      <c r="H579" t="s">
        <v>13</v>
      </c>
      <c r="I579" t="s">
        <v>1855</v>
      </c>
      <c r="J579" t="s">
        <v>21</v>
      </c>
      <c r="K579" t="str">
        <f t="shared" si="54"/>
        <v>Heidi Sosa</v>
      </c>
      <c r="L579" t="str">
        <f t="shared" si="55"/>
        <v>Male</v>
      </c>
      <c r="M579" t="str">
        <f t="shared" si="56"/>
        <v>Nancy Wilson</v>
      </c>
      <c r="N579" s="4" t="str">
        <f t="shared" si="57"/>
        <v>Cardiology</v>
      </c>
      <c r="O579" s="6">
        <f t="shared" si="58"/>
        <v>241.81</v>
      </c>
      <c r="P579" s="4" t="str">
        <f t="shared" si="59"/>
        <v>Yes</v>
      </c>
      <c r="Q579" s="4" t="str">
        <f>IF(OR(A579="",C579="",L579="Missing",M579="Missing",O579="0.00",K579="Missing"),"Review","OK")</f>
        <v>OK</v>
      </c>
    </row>
    <row r="580" spans="1:17" x14ac:dyDescent="0.3">
      <c r="A580">
        <v>1092</v>
      </c>
      <c r="B580" t="s">
        <v>1856</v>
      </c>
      <c r="C580">
        <v>54</v>
      </c>
      <c r="D580">
        <v>1</v>
      </c>
      <c r="E580" s="3">
        <v>45870</v>
      </c>
      <c r="F580" s="3">
        <v>45419</v>
      </c>
      <c r="G580" t="s">
        <v>1857</v>
      </c>
      <c r="H580" t="s">
        <v>29</v>
      </c>
      <c r="I580" t="s">
        <v>1858</v>
      </c>
      <c r="J580">
        <v>1</v>
      </c>
      <c r="K580" t="str">
        <f t="shared" si="54"/>
        <v>Dalton Rodriguez</v>
      </c>
      <c r="L580" t="str">
        <f t="shared" si="55"/>
        <v>Female</v>
      </c>
      <c r="M580" t="str">
        <f t="shared" si="56"/>
        <v>Erica Sanchez</v>
      </c>
      <c r="N580" s="4" t="str">
        <f t="shared" si="57"/>
        <v>General</v>
      </c>
      <c r="O580" s="6">
        <f t="shared" si="58"/>
        <v>467.2</v>
      </c>
      <c r="P580" s="4" t="str">
        <f t="shared" si="59"/>
        <v>Yes</v>
      </c>
      <c r="Q580" s="4" t="str">
        <f>IF(OR(A580="",C580="",L580="Missing",M580="Missing",O580="0.00",K580="Missing"),"Review","OK")</f>
        <v>OK</v>
      </c>
    </row>
    <row r="581" spans="1:17" x14ac:dyDescent="0.3">
      <c r="A581">
        <v>1001</v>
      </c>
      <c r="B581" t="s">
        <v>1859</v>
      </c>
      <c r="C581">
        <v>70</v>
      </c>
      <c r="D581" t="s">
        <v>76</v>
      </c>
      <c r="E581" s="3" t="s">
        <v>1860</v>
      </c>
      <c r="F581" s="3">
        <v>45674</v>
      </c>
      <c r="G581" t="s">
        <v>1861</v>
      </c>
      <c r="H581" t="s">
        <v>29</v>
      </c>
      <c r="I581" t="s">
        <v>1862</v>
      </c>
      <c r="J581" t="s">
        <v>21</v>
      </c>
      <c r="K581" t="str">
        <f t="shared" si="54"/>
        <v>Jacqueline West</v>
      </c>
      <c r="L581" t="str">
        <f t="shared" si="55"/>
        <v>Male</v>
      </c>
      <c r="M581" t="str">
        <f t="shared" si="56"/>
        <v>Steven Walker</v>
      </c>
      <c r="N581" s="4" t="str">
        <f t="shared" si="57"/>
        <v>General</v>
      </c>
      <c r="O581" s="6">
        <f t="shared" si="58"/>
        <v>148.74</v>
      </c>
      <c r="P581" s="4" t="str">
        <f t="shared" si="59"/>
        <v>Yes</v>
      </c>
      <c r="Q581" s="4" t="str">
        <f>IF(OR(A581="",C581="",L581="Missing",M581="Missing",O581="0.00",K581="Missing"),"Review","OK")</f>
        <v>OK</v>
      </c>
    </row>
    <row r="582" spans="1:17" x14ac:dyDescent="0.3">
      <c r="A582">
        <v>1063</v>
      </c>
      <c r="B582" t="s">
        <v>1863</v>
      </c>
      <c r="C582">
        <v>48</v>
      </c>
      <c r="D582" t="s">
        <v>76</v>
      </c>
      <c r="E582" s="3" t="s">
        <v>1864</v>
      </c>
      <c r="F582" s="3">
        <v>45397</v>
      </c>
      <c r="G582" t="s">
        <v>1865</v>
      </c>
      <c r="H582" t="s">
        <v>25</v>
      </c>
      <c r="I582" t="s">
        <v>1866</v>
      </c>
      <c r="J582" t="s">
        <v>31</v>
      </c>
      <c r="K582" t="str">
        <f t="shared" si="54"/>
        <v>Sherri Barry</v>
      </c>
      <c r="L582" t="str">
        <f t="shared" si="55"/>
        <v>Male</v>
      </c>
      <c r="M582" t="str">
        <f t="shared" si="56"/>
        <v>Janet Schultz</v>
      </c>
      <c r="N582" s="4" t="str">
        <f t="shared" si="57"/>
        <v>Neurology</v>
      </c>
      <c r="O582" s="6">
        <f t="shared" si="58"/>
        <v>109.72</v>
      </c>
      <c r="P582" s="4" t="str">
        <f t="shared" si="59"/>
        <v>No</v>
      </c>
      <c r="Q582" s="4" t="str">
        <f>IF(OR(A582="",C582="",L582="Missing",M582="Missing",O582="0.00",K582="Missing"),"Review","OK")</f>
        <v>OK</v>
      </c>
    </row>
    <row r="583" spans="1:17" x14ac:dyDescent="0.3">
      <c r="A583">
        <v>1061</v>
      </c>
      <c r="B583" t="s">
        <v>1867</v>
      </c>
      <c r="C583">
        <v>67</v>
      </c>
      <c r="D583" t="s">
        <v>23</v>
      </c>
      <c r="E583" s="3" t="s">
        <v>1868</v>
      </c>
      <c r="F583" s="3">
        <v>45657</v>
      </c>
      <c r="G583" t="s">
        <v>1869</v>
      </c>
      <c r="H583" t="s">
        <v>29</v>
      </c>
      <c r="I583" t="s">
        <v>1870</v>
      </c>
      <c r="J583">
        <v>1</v>
      </c>
      <c r="K583" t="str">
        <f t="shared" si="54"/>
        <v>Lydia Russell</v>
      </c>
      <c r="L583" t="str">
        <f t="shared" si="55"/>
        <v>Male</v>
      </c>
      <c r="M583" t="str">
        <f t="shared" si="56"/>
        <v>Matthew Clark</v>
      </c>
      <c r="N583" s="4" t="str">
        <f t="shared" si="57"/>
        <v>General</v>
      </c>
      <c r="O583" s="6">
        <f t="shared" si="58"/>
        <v>477.53</v>
      </c>
      <c r="P583" s="4" t="str">
        <f t="shared" si="59"/>
        <v>Yes</v>
      </c>
      <c r="Q583" s="4" t="str">
        <f>IF(OR(A583="",C583="",L583="Missing",M583="Missing",O583="0.00",K583="Missing"),"Review","OK")</f>
        <v>OK</v>
      </c>
    </row>
    <row r="584" spans="1:17" x14ac:dyDescent="0.3">
      <c r="A584">
        <v>1036</v>
      </c>
      <c r="B584" t="s">
        <v>1871</v>
      </c>
      <c r="C584">
        <v>41</v>
      </c>
      <c r="D584" t="s">
        <v>56</v>
      </c>
      <c r="E584" s="3">
        <v>45837</v>
      </c>
      <c r="F584" s="3">
        <v>45556</v>
      </c>
      <c r="G584" t="s">
        <v>1872</v>
      </c>
      <c r="H584" t="s">
        <v>13</v>
      </c>
      <c r="I584" t="s">
        <v>1873</v>
      </c>
      <c r="J584" t="s">
        <v>65</v>
      </c>
      <c r="K584" t="str">
        <f t="shared" si="54"/>
        <v>Alexander Hammond</v>
      </c>
      <c r="L584" t="str">
        <f t="shared" si="55"/>
        <v>Male</v>
      </c>
      <c r="M584" t="str">
        <f t="shared" si="56"/>
        <v>Tara Moore</v>
      </c>
      <c r="N584" s="4" t="str">
        <f t="shared" si="57"/>
        <v>Cardiology</v>
      </c>
      <c r="O584" s="6">
        <f t="shared" si="58"/>
        <v>286.70999999999998</v>
      </c>
      <c r="P584" s="4" t="str">
        <f t="shared" si="59"/>
        <v>No</v>
      </c>
      <c r="Q584" s="4" t="str">
        <f>IF(OR(A584="",C584="",L584="Missing",M584="Missing",O584="0.00",K584="Missing"),"Review","OK")</f>
        <v>OK</v>
      </c>
    </row>
    <row r="585" spans="1:17" x14ac:dyDescent="0.3">
      <c r="A585">
        <v>1015</v>
      </c>
      <c r="B585" t="s">
        <v>1874</v>
      </c>
      <c r="C585">
        <v>87</v>
      </c>
      <c r="E585" s="3">
        <v>45787</v>
      </c>
      <c r="F585" s="3">
        <v>45694</v>
      </c>
      <c r="G585" t="s">
        <v>1875</v>
      </c>
      <c r="H585" t="s">
        <v>13</v>
      </c>
      <c r="I585" t="s">
        <v>1876</v>
      </c>
      <c r="J585" t="s">
        <v>39</v>
      </c>
      <c r="K585" t="str">
        <f t="shared" si="54"/>
        <v>Nichole Anderson</v>
      </c>
      <c r="L585" t="str">
        <f t="shared" si="55"/>
        <v>Missing</v>
      </c>
      <c r="M585" t="str">
        <f t="shared" si="56"/>
        <v>Richard Vega</v>
      </c>
      <c r="N585" s="4" t="str">
        <f t="shared" si="57"/>
        <v>Cardiology</v>
      </c>
      <c r="O585" s="6">
        <f t="shared" si="58"/>
        <v>316.89</v>
      </c>
      <c r="P585" s="4" t="str">
        <f t="shared" si="59"/>
        <v>Yes</v>
      </c>
      <c r="Q585" s="4" t="str">
        <f>IF(OR(A585="",C585="",L585="Missing",M585="Missing",O585="0.00",K585="Missing"),"Review","OK")</f>
        <v>Review</v>
      </c>
    </row>
    <row r="586" spans="1:17" x14ac:dyDescent="0.3">
      <c r="A586">
        <v>1069</v>
      </c>
      <c r="B586" t="s">
        <v>1877</v>
      </c>
      <c r="C586">
        <v>40</v>
      </c>
      <c r="D586">
        <v>0</v>
      </c>
      <c r="E586" s="3">
        <v>46000</v>
      </c>
      <c r="F586" s="3">
        <v>45941</v>
      </c>
      <c r="G586" t="s">
        <v>1878</v>
      </c>
      <c r="H586" t="s">
        <v>29</v>
      </c>
      <c r="I586" t="s">
        <v>1879</v>
      </c>
      <c r="J586" t="s">
        <v>39</v>
      </c>
      <c r="K586" t="str">
        <f t="shared" si="54"/>
        <v>Jacqueline Peters</v>
      </c>
      <c r="L586" t="str">
        <f t="shared" si="55"/>
        <v>Male</v>
      </c>
      <c r="M586" t="str">
        <f t="shared" si="56"/>
        <v>Adam Jensen</v>
      </c>
      <c r="N586" s="4" t="str">
        <f t="shared" si="57"/>
        <v>General</v>
      </c>
      <c r="O586" s="6">
        <f t="shared" si="58"/>
        <v>266.74</v>
      </c>
      <c r="P586" s="4" t="str">
        <f t="shared" si="59"/>
        <v>Yes</v>
      </c>
      <c r="Q586" s="4" t="str">
        <f>IF(OR(A586="",C586="",L586="Missing",M586="Missing",O586="0.00",K586="Missing"),"Review","OK")</f>
        <v>OK</v>
      </c>
    </row>
    <row r="587" spans="1:17" x14ac:dyDescent="0.3">
      <c r="A587">
        <v>1029</v>
      </c>
      <c r="B587" t="s">
        <v>1880</v>
      </c>
      <c r="C587">
        <v>55</v>
      </c>
      <c r="D587" t="s">
        <v>76</v>
      </c>
      <c r="E587" s="3">
        <v>45945</v>
      </c>
      <c r="F587" s="3" t="s">
        <v>1881</v>
      </c>
      <c r="G587" t="s">
        <v>1882</v>
      </c>
      <c r="H587" t="s">
        <v>19</v>
      </c>
      <c r="I587" t="s">
        <v>1883</v>
      </c>
      <c r="J587" t="s">
        <v>31</v>
      </c>
      <c r="K587" t="str">
        <f t="shared" si="54"/>
        <v>Kelly Hodge</v>
      </c>
      <c r="L587" t="str">
        <f t="shared" si="55"/>
        <v>Male</v>
      </c>
      <c r="M587" t="str">
        <f t="shared" si="56"/>
        <v>Terry Jones</v>
      </c>
      <c r="N587" s="4" t="str">
        <f t="shared" si="57"/>
        <v>Orthopedics</v>
      </c>
      <c r="O587" s="6">
        <f t="shared" si="58"/>
        <v>175.09</v>
      </c>
      <c r="P587" s="4" t="str">
        <f t="shared" si="59"/>
        <v>No</v>
      </c>
      <c r="Q587" s="4" t="str">
        <f>IF(OR(A587="",C587="",L587="Missing",M587="Missing",O587="0.00",K587="Missing"),"Review","OK")</f>
        <v>OK</v>
      </c>
    </row>
    <row r="588" spans="1:17" x14ac:dyDescent="0.3">
      <c r="A588">
        <v>1037</v>
      </c>
      <c r="B588" t="s">
        <v>1884</v>
      </c>
      <c r="C588">
        <v>90</v>
      </c>
      <c r="D588">
        <v>1</v>
      </c>
      <c r="E588" s="3">
        <v>45881</v>
      </c>
      <c r="F588" s="3">
        <v>45510</v>
      </c>
      <c r="G588" t="s">
        <v>1885</v>
      </c>
      <c r="H588" t="s">
        <v>13</v>
      </c>
      <c r="I588" t="s">
        <v>1886</v>
      </c>
      <c r="J588" t="s">
        <v>65</v>
      </c>
      <c r="K588" t="str">
        <f t="shared" si="54"/>
        <v>Brandi Boyd</v>
      </c>
      <c r="L588" t="str">
        <f t="shared" si="55"/>
        <v>Female</v>
      </c>
      <c r="M588" t="str">
        <f t="shared" si="56"/>
        <v>Mary Jacobson</v>
      </c>
      <c r="N588" s="4" t="str">
        <f t="shared" si="57"/>
        <v>Cardiology</v>
      </c>
      <c r="O588" s="6">
        <f t="shared" si="58"/>
        <v>96.2</v>
      </c>
      <c r="P588" s="4" t="str">
        <f t="shared" si="59"/>
        <v>No</v>
      </c>
      <c r="Q588" s="4" t="str">
        <f>IF(OR(A588="",C588="",L588="Missing",M588="Missing",O588="0.00",K588="Missing"),"Review","OK")</f>
        <v>OK</v>
      </c>
    </row>
    <row r="589" spans="1:17" x14ac:dyDescent="0.3">
      <c r="A589">
        <v>1071</v>
      </c>
      <c r="B589" t="s">
        <v>1887</v>
      </c>
      <c r="C589">
        <v>25</v>
      </c>
      <c r="D589" t="s">
        <v>11</v>
      </c>
      <c r="E589" s="3" t="s">
        <v>1888</v>
      </c>
      <c r="F589" s="3">
        <v>45982</v>
      </c>
      <c r="G589" t="s">
        <v>1889</v>
      </c>
      <c r="H589" t="s">
        <v>29</v>
      </c>
      <c r="I589" t="s">
        <v>1890</v>
      </c>
      <c r="J589">
        <v>0</v>
      </c>
      <c r="K589" t="str">
        <f t="shared" si="54"/>
        <v>David Jones</v>
      </c>
      <c r="L589" t="str">
        <f t="shared" si="55"/>
        <v>Female</v>
      </c>
      <c r="M589" t="str">
        <f t="shared" si="56"/>
        <v>Dakota Fleming</v>
      </c>
      <c r="N589" s="4" t="str">
        <f t="shared" si="57"/>
        <v>General</v>
      </c>
      <c r="O589" s="6">
        <f t="shared" si="58"/>
        <v>443.12</v>
      </c>
      <c r="P589" s="4" t="str">
        <f t="shared" si="59"/>
        <v>No</v>
      </c>
      <c r="Q589" s="4" t="str">
        <f>IF(OR(A589="",C589="",L589="Missing",M589="Missing",O589="0.00",K589="Missing"),"Review","OK")</f>
        <v>OK</v>
      </c>
    </row>
    <row r="590" spans="1:17" x14ac:dyDescent="0.3">
      <c r="A590">
        <v>1023</v>
      </c>
      <c r="B590" t="s">
        <v>1891</v>
      </c>
      <c r="C590">
        <v>46</v>
      </c>
      <c r="D590" t="s">
        <v>41</v>
      </c>
      <c r="E590" s="3">
        <v>46060</v>
      </c>
      <c r="F590" s="3" t="s">
        <v>1892</v>
      </c>
      <c r="G590" t="s">
        <v>1893</v>
      </c>
      <c r="H590" t="s">
        <v>25</v>
      </c>
      <c r="I590" t="s">
        <v>1894</v>
      </c>
      <c r="J590">
        <v>1</v>
      </c>
      <c r="K590" t="str">
        <f t="shared" si="54"/>
        <v>Zachary Lewis</v>
      </c>
      <c r="L590" t="str">
        <f t="shared" si="55"/>
        <v>Female</v>
      </c>
      <c r="M590" t="str">
        <f t="shared" si="56"/>
        <v>Gary Washington</v>
      </c>
      <c r="N590" s="4" t="str">
        <f t="shared" si="57"/>
        <v>Neurology</v>
      </c>
      <c r="O590" s="6">
        <f t="shared" si="58"/>
        <v>351.94</v>
      </c>
      <c r="P590" s="4" t="str">
        <f t="shared" si="59"/>
        <v>Yes</v>
      </c>
      <c r="Q590" s="4" t="str">
        <f>IF(OR(A590="",C590="",L590="Missing",M590="Missing",O590="0.00",K590="Missing"),"Review","OK")</f>
        <v>OK</v>
      </c>
    </row>
    <row r="591" spans="1:17" x14ac:dyDescent="0.3">
      <c r="A591">
        <v>1074</v>
      </c>
      <c r="B591" t="s">
        <v>1895</v>
      </c>
      <c r="C591">
        <v>75</v>
      </c>
      <c r="D591">
        <v>1</v>
      </c>
      <c r="E591" s="3">
        <v>45884</v>
      </c>
      <c r="F591" s="3" t="s">
        <v>1896</v>
      </c>
      <c r="G591" t="s">
        <v>1897</v>
      </c>
      <c r="H591" t="s">
        <v>25</v>
      </c>
      <c r="I591" t="s">
        <v>1898</v>
      </c>
      <c r="J591" t="s">
        <v>21</v>
      </c>
      <c r="K591" t="str">
        <f t="shared" si="54"/>
        <v>Andrea Anderson</v>
      </c>
      <c r="L591" t="str">
        <f t="shared" si="55"/>
        <v>Female</v>
      </c>
      <c r="M591" t="str">
        <f t="shared" si="56"/>
        <v>Mary Burgess</v>
      </c>
      <c r="N591" s="4" t="str">
        <f t="shared" si="57"/>
        <v>Neurology</v>
      </c>
      <c r="O591" s="6">
        <f t="shared" si="58"/>
        <v>59.55</v>
      </c>
      <c r="P591" s="4" t="str">
        <f t="shared" si="59"/>
        <v>Yes</v>
      </c>
      <c r="Q591" s="4" t="str">
        <f>IF(OR(A591="",C591="",L591="Missing",M591="Missing",O591="0.00",K591="Missing"),"Review","OK")</f>
        <v>OK</v>
      </c>
    </row>
    <row r="592" spans="1:17" x14ac:dyDescent="0.3">
      <c r="A592">
        <v>1039</v>
      </c>
      <c r="B592" t="s">
        <v>1899</v>
      </c>
      <c r="C592">
        <v>68</v>
      </c>
      <c r="D592" t="s">
        <v>56</v>
      </c>
      <c r="E592" s="3">
        <v>45693</v>
      </c>
      <c r="F592" s="3">
        <v>45703</v>
      </c>
      <c r="G592" t="s">
        <v>1721</v>
      </c>
      <c r="H592" t="s">
        <v>19</v>
      </c>
      <c r="I592" t="s">
        <v>1900</v>
      </c>
      <c r="J592" t="s">
        <v>31</v>
      </c>
      <c r="K592" t="str">
        <f t="shared" si="54"/>
        <v>Shawn Castillo</v>
      </c>
      <c r="L592" t="str">
        <f t="shared" si="55"/>
        <v>Male</v>
      </c>
      <c r="M592" t="str">
        <f t="shared" si="56"/>
        <v>Jennifer Carroll</v>
      </c>
      <c r="N592" s="4" t="str">
        <f t="shared" si="57"/>
        <v>Orthopedics</v>
      </c>
      <c r="O592" s="6">
        <f t="shared" si="58"/>
        <v>339.57</v>
      </c>
      <c r="P592" s="4" t="str">
        <f t="shared" si="59"/>
        <v>No</v>
      </c>
      <c r="Q592" s="4" t="str">
        <f>IF(OR(A592="",C592="",L592="Missing",M592="Missing",O592="0.00",K592="Missing"),"Review","OK")</f>
        <v>OK</v>
      </c>
    </row>
    <row r="593" spans="1:17" x14ac:dyDescent="0.3">
      <c r="A593">
        <v>1071</v>
      </c>
      <c r="B593" t="s">
        <v>1901</v>
      </c>
      <c r="C593">
        <v>88</v>
      </c>
      <c r="D593" t="s">
        <v>23</v>
      </c>
      <c r="E593" s="3">
        <v>45789</v>
      </c>
      <c r="F593" s="3">
        <v>45506</v>
      </c>
      <c r="G593" t="s">
        <v>1902</v>
      </c>
      <c r="H593" t="s">
        <v>25</v>
      </c>
      <c r="I593" t="s">
        <v>1903</v>
      </c>
      <c r="J593" t="s">
        <v>21</v>
      </c>
      <c r="K593" t="str">
        <f t="shared" si="54"/>
        <v>Jerry Holmes</v>
      </c>
      <c r="L593" t="str">
        <f t="shared" si="55"/>
        <v>Male</v>
      </c>
      <c r="M593" t="str">
        <f t="shared" si="56"/>
        <v>Kim Daniels</v>
      </c>
      <c r="N593" s="4" t="str">
        <f t="shared" si="57"/>
        <v>Neurology</v>
      </c>
      <c r="O593" s="6">
        <f t="shared" si="58"/>
        <v>344.57</v>
      </c>
      <c r="P593" s="4" t="str">
        <f t="shared" si="59"/>
        <v>Yes</v>
      </c>
      <c r="Q593" s="4" t="str">
        <f>IF(OR(A593="",C593="",L593="Missing",M593="Missing",O593="0.00",K593="Missing"),"Review","OK")</f>
        <v>OK</v>
      </c>
    </row>
    <row r="594" spans="1:17" x14ac:dyDescent="0.3">
      <c r="A594">
        <v>1039</v>
      </c>
      <c r="B594" t="s">
        <v>1904</v>
      </c>
      <c r="C594">
        <v>47</v>
      </c>
      <c r="D594" t="s">
        <v>16</v>
      </c>
      <c r="E594" s="3" t="s">
        <v>992</v>
      </c>
      <c r="F594" s="3">
        <v>45419</v>
      </c>
      <c r="G594" t="s">
        <v>1905</v>
      </c>
      <c r="H594" t="s">
        <v>19</v>
      </c>
      <c r="I594" t="s">
        <v>1906</v>
      </c>
      <c r="J594" t="s">
        <v>21</v>
      </c>
      <c r="K594" t="str">
        <f t="shared" si="54"/>
        <v>Kimberly Diaz</v>
      </c>
      <c r="L594" t="str">
        <f t="shared" si="55"/>
        <v>Female</v>
      </c>
      <c r="M594" t="str">
        <f t="shared" si="56"/>
        <v>David Guzman</v>
      </c>
      <c r="N594" s="4" t="str">
        <f t="shared" si="57"/>
        <v>Orthopedics</v>
      </c>
      <c r="O594" s="6">
        <f t="shared" si="58"/>
        <v>197.72</v>
      </c>
      <c r="P594" s="4" t="str">
        <f t="shared" si="59"/>
        <v>Yes</v>
      </c>
      <c r="Q594" s="4" t="str">
        <f>IF(OR(A594="",C594="",L594="Missing",M594="Missing",O594="0.00",K594="Missing"),"Review","OK")</f>
        <v>OK</v>
      </c>
    </row>
    <row r="595" spans="1:17" x14ac:dyDescent="0.3">
      <c r="A595">
        <v>1082</v>
      </c>
      <c r="B595" t="s">
        <v>1907</v>
      </c>
      <c r="C595">
        <v>57</v>
      </c>
      <c r="D595">
        <v>0</v>
      </c>
      <c r="E595" s="3">
        <v>45965</v>
      </c>
      <c r="F595" s="3" t="s">
        <v>1908</v>
      </c>
      <c r="G595" t="s">
        <v>1909</v>
      </c>
      <c r="H595" t="s">
        <v>13</v>
      </c>
      <c r="I595" t="s">
        <v>1910</v>
      </c>
      <c r="J595">
        <v>0</v>
      </c>
      <c r="K595" t="str">
        <f t="shared" si="54"/>
        <v>Katherine Olson</v>
      </c>
      <c r="L595" t="str">
        <f t="shared" si="55"/>
        <v>Male</v>
      </c>
      <c r="M595" t="str">
        <f t="shared" si="56"/>
        <v>Larry Roberts</v>
      </c>
      <c r="N595" s="4" t="str">
        <f t="shared" si="57"/>
        <v>Cardiology</v>
      </c>
      <c r="O595" s="6">
        <f t="shared" si="58"/>
        <v>202.68</v>
      </c>
      <c r="P595" s="4" t="str">
        <f t="shared" si="59"/>
        <v>No</v>
      </c>
      <c r="Q595" s="4" t="str">
        <f>IF(OR(A595="",C595="",L595="Missing",M595="Missing",O595="0.00",K595="Missing"),"Review","OK")</f>
        <v>OK</v>
      </c>
    </row>
    <row r="596" spans="1:17" x14ac:dyDescent="0.3">
      <c r="A596">
        <v>1084</v>
      </c>
      <c r="B596" t="s">
        <v>1911</v>
      </c>
      <c r="C596">
        <v>71</v>
      </c>
      <c r="D596" t="s">
        <v>23</v>
      </c>
      <c r="E596" s="3">
        <v>45767</v>
      </c>
      <c r="F596" s="3">
        <v>45504</v>
      </c>
      <c r="G596" t="s">
        <v>1912</v>
      </c>
      <c r="H596" t="s">
        <v>13</v>
      </c>
      <c r="I596" t="s">
        <v>1913</v>
      </c>
      <c r="J596" t="s">
        <v>65</v>
      </c>
      <c r="K596" t="str">
        <f t="shared" si="54"/>
        <v>Nathaniel White</v>
      </c>
      <c r="L596" t="str">
        <f t="shared" si="55"/>
        <v>Male</v>
      </c>
      <c r="M596" t="str">
        <f t="shared" si="56"/>
        <v>Andrew Clark</v>
      </c>
      <c r="N596" s="4" t="str">
        <f t="shared" si="57"/>
        <v>Cardiology</v>
      </c>
      <c r="O596" s="6">
        <f t="shared" si="58"/>
        <v>95.4</v>
      </c>
      <c r="P596" s="4" t="str">
        <f t="shared" si="59"/>
        <v>No</v>
      </c>
      <c r="Q596" s="4" t="str">
        <f>IF(OR(A596="",C596="",L596="Missing",M596="Missing",O596="0.00",K596="Missing"),"Review","OK")</f>
        <v>OK</v>
      </c>
    </row>
    <row r="597" spans="1:17" x14ac:dyDescent="0.3">
      <c r="A597">
        <v>1089</v>
      </c>
      <c r="B597" t="s">
        <v>1914</v>
      </c>
      <c r="C597">
        <v>68</v>
      </c>
      <c r="D597" t="s">
        <v>11</v>
      </c>
      <c r="E597" s="3">
        <v>45750</v>
      </c>
      <c r="F597" s="3">
        <v>45510</v>
      </c>
      <c r="G597" t="s">
        <v>1915</v>
      </c>
      <c r="H597" t="s">
        <v>19</v>
      </c>
      <c r="I597" t="s">
        <v>1916</v>
      </c>
      <c r="J597">
        <v>0</v>
      </c>
      <c r="K597" t="str">
        <f t="shared" si="54"/>
        <v>Robert Garcia</v>
      </c>
      <c r="L597" t="str">
        <f t="shared" si="55"/>
        <v>Female</v>
      </c>
      <c r="M597" t="str">
        <f t="shared" si="56"/>
        <v>Eric Lewis</v>
      </c>
      <c r="N597" s="4" t="str">
        <f t="shared" si="57"/>
        <v>Orthopedics</v>
      </c>
      <c r="O597" s="6">
        <f t="shared" si="58"/>
        <v>245.84</v>
      </c>
      <c r="P597" s="4" t="str">
        <f t="shared" si="59"/>
        <v>No</v>
      </c>
      <c r="Q597" s="4" t="str">
        <f>IF(OR(A597="",C597="",L597="Missing",M597="Missing",O597="0.00",K597="Missing"),"Review","OK")</f>
        <v>OK</v>
      </c>
    </row>
    <row r="598" spans="1:17" x14ac:dyDescent="0.3">
      <c r="A598">
        <v>1031</v>
      </c>
      <c r="B598" t="s">
        <v>744</v>
      </c>
      <c r="C598">
        <v>44</v>
      </c>
      <c r="D598" t="s">
        <v>23</v>
      </c>
      <c r="E598" s="3">
        <v>46041</v>
      </c>
      <c r="F598" s="3">
        <v>45457</v>
      </c>
      <c r="G598" t="s">
        <v>1917</v>
      </c>
      <c r="H598" t="s">
        <v>19</v>
      </c>
      <c r="I598" t="s">
        <v>1918</v>
      </c>
      <c r="J598" t="s">
        <v>65</v>
      </c>
      <c r="K598" t="str">
        <f t="shared" si="54"/>
        <v>John Gonzalez</v>
      </c>
      <c r="L598" t="str">
        <f t="shared" si="55"/>
        <v>Male</v>
      </c>
      <c r="M598" t="str">
        <f t="shared" si="56"/>
        <v>Richard Medina</v>
      </c>
      <c r="N598" s="4" t="str">
        <f t="shared" si="57"/>
        <v>Orthopedics</v>
      </c>
      <c r="O598" s="6">
        <f t="shared" si="58"/>
        <v>284.66000000000003</v>
      </c>
      <c r="P598" s="4" t="str">
        <f t="shared" si="59"/>
        <v>No</v>
      </c>
      <c r="Q598" s="4" t="str">
        <f>IF(OR(A598="",C598="",L598="Missing",M598="Missing",O598="0.00",K598="Missing"),"Review","OK")</f>
        <v>OK</v>
      </c>
    </row>
    <row r="599" spans="1:17" x14ac:dyDescent="0.3">
      <c r="A599">
        <v>1053</v>
      </c>
      <c r="B599" t="s">
        <v>1919</v>
      </c>
      <c r="C599">
        <v>70</v>
      </c>
      <c r="D599" t="s">
        <v>56</v>
      </c>
      <c r="E599" s="3">
        <v>46012</v>
      </c>
      <c r="F599" s="3">
        <v>45876</v>
      </c>
      <c r="G599" t="s">
        <v>1920</v>
      </c>
      <c r="H599" t="s">
        <v>25</v>
      </c>
      <c r="I599" t="s">
        <v>1921</v>
      </c>
      <c r="J599" t="s">
        <v>31</v>
      </c>
      <c r="K599" t="str">
        <f t="shared" si="54"/>
        <v>Peter Pierce</v>
      </c>
      <c r="L599" t="str">
        <f t="shared" si="55"/>
        <v>Male</v>
      </c>
      <c r="M599" t="str">
        <f t="shared" si="56"/>
        <v>Deborah Snyder</v>
      </c>
      <c r="N599" s="4" t="str">
        <f t="shared" si="57"/>
        <v>Neurology</v>
      </c>
      <c r="O599" s="6">
        <f t="shared" si="58"/>
        <v>389.49</v>
      </c>
      <c r="P599" s="4" t="str">
        <f t="shared" si="59"/>
        <v>No</v>
      </c>
      <c r="Q599" s="4" t="str">
        <f>IF(OR(A599="",C599="",L599="Missing",M599="Missing",O599="0.00",K599="Missing"),"Review","OK")</f>
        <v>OK</v>
      </c>
    </row>
    <row r="600" spans="1:17" x14ac:dyDescent="0.3">
      <c r="A600">
        <v>1048</v>
      </c>
      <c r="B600" t="s">
        <v>1922</v>
      </c>
      <c r="C600">
        <v>67</v>
      </c>
      <c r="D600" t="s">
        <v>56</v>
      </c>
      <c r="E600" s="3">
        <v>45841</v>
      </c>
      <c r="F600" s="3" t="s">
        <v>1923</v>
      </c>
      <c r="G600" t="s">
        <v>1924</v>
      </c>
      <c r="H600" t="s">
        <v>25</v>
      </c>
      <c r="J600" t="s">
        <v>39</v>
      </c>
      <c r="K600" t="str">
        <f t="shared" si="54"/>
        <v>Elizabeth Russo</v>
      </c>
      <c r="L600" t="str">
        <f t="shared" si="55"/>
        <v>Male</v>
      </c>
      <c r="M600" t="str">
        <f t="shared" si="56"/>
        <v>Connie Martinez</v>
      </c>
      <c r="N600" s="4" t="str">
        <f t="shared" si="57"/>
        <v>Neurology</v>
      </c>
      <c r="O600" s="6" t="str">
        <f t="shared" si="58"/>
        <v>0.00</v>
      </c>
      <c r="P600" s="4" t="str">
        <f t="shared" si="59"/>
        <v>Yes</v>
      </c>
      <c r="Q600" s="4" t="str">
        <f>IF(OR(A600="",C600="",L600="Missing",M600="Missing",O600="0.00",K600="Missing"),"Review","OK")</f>
        <v>Review</v>
      </c>
    </row>
    <row r="601" spans="1:17" x14ac:dyDescent="0.3">
      <c r="A601">
        <v>1075</v>
      </c>
      <c r="B601" t="s">
        <v>1925</v>
      </c>
      <c r="C601">
        <v>67</v>
      </c>
      <c r="D601" t="s">
        <v>11</v>
      </c>
      <c r="E601" s="3">
        <v>45820</v>
      </c>
      <c r="F601" s="3">
        <v>45795</v>
      </c>
      <c r="G601" t="s">
        <v>1926</v>
      </c>
      <c r="H601" t="s">
        <v>25</v>
      </c>
      <c r="I601" t="s">
        <v>1927</v>
      </c>
      <c r="J601" t="s">
        <v>31</v>
      </c>
      <c r="K601" t="str">
        <f t="shared" si="54"/>
        <v>Jacqueline Collins</v>
      </c>
      <c r="L601" t="str">
        <f t="shared" si="55"/>
        <v>Female</v>
      </c>
      <c r="M601" t="str">
        <f t="shared" si="56"/>
        <v>Paul Parker</v>
      </c>
      <c r="N601" s="4" t="str">
        <f t="shared" si="57"/>
        <v>Neurology</v>
      </c>
      <c r="O601" s="6">
        <f t="shared" si="58"/>
        <v>161.5</v>
      </c>
      <c r="P601" s="4" t="str">
        <f t="shared" si="59"/>
        <v>No</v>
      </c>
      <c r="Q601" s="4" t="str">
        <f>IF(OR(A601="",C601="",L601="Missing",M601="Missing",O601="0.00",K601="Missing"),"Review","OK")</f>
        <v>OK</v>
      </c>
    </row>
    <row r="602" spans="1:17" x14ac:dyDescent="0.3">
      <c r="A602">
        <v>1033</v>
      </c>
      <c r="B602" t="s">
        <v>1928</v>
      </c>
      <c r="C602">
        <v>38</v>
      </c>
      <c r="D602">
        <v>0</v>
      </c>
      <c r="E602" s="3">
        <v>45796</v>
      </c>
      <c r="F602" s="3" t="s">
        <v>1929</v>
      </c>
      <c r="G602" t="s">
        <v>1930</v>
      </c>
      <c r="H602" t="s">
        <v>19</v>
      </c>
      <c r="I602" t="s">
        <v>1931</v>
      </c>
      <c r="J602">
        <v>0</v>
      </c>
      <c r="K602" t="str">
        <f t="shared" si="54"/>
        <v>Mckenzie Mccarty</v>
      </c>
      <c r="L602" t="str">
        <f t="shared" si="55"/>
        <v>Male</v>
      </c>
      <c r="M602" t="str">
        <f t="shared" si="56"/>
        <v>Larry Smith</v>
      </c>
      <c r="N602" s="4" t="str">
        <f t="shared" si="57"/>
        <v>Orthopedics</v>
      </c>
      <c r="O602" s="6">
        <f t="shared" si="58"/>
        <v>68.36</v>
      </c>
      <c r="P602" s="4" t="str">
        <f t="shared" si="59"/>
        <v>No</v>
      </c>
      <c r="Q602" s="4" t="str">
        <f>IF(OR(A602="",C602="",L602="Missing",M602="Missing",O602="0.00",K602="Missing"),"Review","OK")</f>
        <v>OK</v>
      </c>
    </row>
    <row r="603" spans="1:17" x14ac:dyDescent="0.3">
      <c r="A603">
        <v>1054</v>
      </c>
      <c r="B603" t="s">
        <v>1932</v>
      </c>
      <c r="C603">
        <v>82</v>
      </c>
      <c r="D603" t="s">
        <v>76</v>
      </c>
      <c r="E603" s="3" t="s">
        <v>970</v>
      </c>
      <c r="F603" s="3">
        <v>45383</v>
      </c>
      <c r="G603" t="s">
        <v>1933</v>
      </c>
      <c r="H603" t="s">
        <v>29</v>
      </c>
      <c r="I603" t="s">
        <v>1934</v>
      </c>
      <c r="J603" t="s">
        <v>39</v>
      </c>
      <c r="K603" t="str">
        <f t="shared" si="54"/>
        <v>Samuel Thomas</v>
      </c>
      <c r="L603" t="str">
        <f t="shared" si="55"/>
        <v>Male</v>
      </c>
      <c r="M603" t="str">
        <f t="shared" si="56"/>
        <v>Donna Johnson</v>
      </c>
      <c r="N603" s="4" t="str">
        <f t="shared" si="57"/>
        <v>General</v>
      </c>
      <c r="O603" s="6">
        <f t="shared" si="58"/>
        <v>332.15</v>
      </c>
      <c r="P603" s="4" t="str">
        <f t="shared" si="59"/>
        <v>Yes</v>
      </c>
      <c r="Q603" s="4" t="str">
        <f>IF(OR(A603="",C603="",L603="Missing",M603="Missing",O603="0.00",K603="Missing"),"Review","OK")</f>
        <v>OK</v>
      </c>
    </row>
    <row r="604" spans="1:17" x14ac:dyDescent="0.3">
      <c r="A604">
        <v>1020</v>
      </c>
      <c r="B604" t="s">
        <v>1935</v>
      </c>
      <c r="C604">
        <v>53</v>
      </c>
      <c r="D604" t="s">
        <v>76</v>
      </c>
      <c r="E604" s="3" t="s">
        <v>1274</v>
      </c>
      <c r="F604" s="3">
        <v>45718</v>
      </c>
      <c r="G604" t="s">
        <v>1936</v>
      </c>
      <c r="H604" t="s">
        <v>25</v>
      </c>
      <c r="I604" t="s">
        <v>1937</v>
      </c>
      <c r="J604" t="s">
        <v>21</v>
      </c>
      <c r="K604" t="str">
        <f t="shared" si="54"/>
        <v>Robert Williams</v>
      </c>
      <c r="L604" t="str">
        <f t="shared" si="55"/>
        <v>Male</v>
      </c>
      <c r="M604" t="str">
        <f t="shared" si="56"/>
        <v>Jessica Chandler</v>
      </c>
      <c r="N604" s="4" t="str">
        <f t="shared" si="57"/>
        <v>Neurology</v>
      </c>
      <c r="O604" s="6">
        <f t="shared" si="58"/>
        <v>294.14</v>
      </c>
      <c r="P604" s="4" t="str">
        <f t="shared" si="59"/>
        <v>Yes</v>
      </c>
      <c r="Q604" s="4" t="str">
        <f>IF(OR(A604="",C604="",L604="Missing",M604="Missing",O604="0.00",K604="Missing"),"Review","OK")</f>
        <v>OK</v>
      </c>
    </row>
    <row r="605" spans="1:17" x14ac:dyDescent="0.3">
      <c r="A605">
        <v>1006</v>
      </c>
      <c r="B605" t="s">
        <v>1938</v>
      </c>
      <c r="C605">
        <v>33</v>
      </c>
      <c r="D605">
        <v>0</v>
      </c>
      <c r="E605" s="3">
        <v>45780</v>
      </c>
      <c r="F605" s="3" t="s">
        <v>1939</v>
      </c>
      <c r="G605" t="s">
        <v>1940</v>
      </c>
      <c r="H605" t="s">
        <v>19</v>
      </c>
      <c r="I605" t="s">
        <v>1941</v>
      </c>
      <c r="J605">
        <v>0</v>
      </c>
      <c r="K605" t="str">
        <f t="shared" si="54"/>
        <v>Brent Thompson</v>
      </c>
      <c r="L605" t="str">
        <f t="shared" si="55"/>
        <v>Male</v>
      </c>
      <c r="M605" t="str">
        <f t="shared" si="56"/>
        <v>Pamela Cunningham</v>
      </c>
      <c r="N605" s="4" t="str">
        <f t="shared" si="57"/>
        <v>Orthopedics</v>
      </c>
      <c r="O605" s="6">
        <f t="shared" si="58"/>
        <v>202.54</v>
      </c>
      <c r="P605" s="4" t="str">
        <f t="shared" si="59"/>
        <v>No</v>
      </c>
      <c r="Q605" s="4" t="str">
        <f>IF(OR(A605="",C605="",L605="Missing",M605="Missing",O605="0.00",K605="Missing"),"Review","OK")</f>
        <v>OK</v>
      </c>
    </row>
    <row r="606" spans="1:17" x14ac:dyDescent="0.3">
      <c r="A606">
        <v>1100</v>
      </c>
      <c r="B606" t="s">
        <v>1942</v>
      </c>
      <c r="C606">
        <v>60</v>
      </c>
      <c r="D606" t="s">
        <v>76</v>
      </c>
      <c r="E606" s="3" t="s">
        <v>1943</v>
      </c>
      <c r="F606" s="3">
        <v>45396</v>
      </c>
      <c r="G606" t="s">
        <v>1944</v>
      </c>
      <c r="H606" t="s">
        <v>25</v>
      </c>
      <c r="I606" t="s">
        <v>1945</v>
      </c>
      <c r="J606" t="s">
        <v>21</v>
      </c>
      <c r="K606" t="str">
        <f t="shared" si="54"/>
        <v>Ms. Kristen Johnson</v>
      </c>
      <c r="L606" t="str">
        <f t="shared" si="55"/>
        <v>Male</v>
      </c>
      <c r="M606" t="str">
        <f t="shared" si="56"/>
        <v>Susan Griffin</v>
      </c>
      <c r="N606" s="4" t="str">
        <f t="shared" si="57"/>
        <v>Neurology</v>
      </c>
      <c r="O606" s="6">
        <f t="shared" si="58"/>
        <v>455.57</v>
      </c>
      <c r="P606" s="4" t="str">
        <f t="shared" si="59"/>
        <v>Yes</v>
      </c>
      <c r="Q606" s="4" t="str">
        <f>IF(OR(A606="",C606="",L606="Missing",M606="Missing",O606="0.00",K606="Missing"),"Review","OK")</f>
        <v>OK</v>
      </c>
    </row>
    <row r="607" spans="1:17" x14ac:dyDescent="0.3">
      <c r="A607">
        <v>1061</v>
      </c>
      <c r="B607" t="s">
        <v>1946</v>
      </c>
      <c r="C607">
        <v>65</v>
      </c>
      <c r="D607" t="s">
        <v>76</v>
      </c>
      <c r="E607" s="3">
        <v>45970</v>
      </c>
      <c r="F607" s="3" t="s">
        <v>865</v>
      </c>
      <c r="G607" t="s">
        <v>1947</v>
      </c>
      <c r="H607" t="s">
        <v>25</v>
      </c>
      <c r="I607" t="s">
        <v>1948</v>
      </c>
      <c r="J607" t="s">
        <v>65</v>
      </c>
      <c r="K607" t="str">
        <f t="shared" si="54"/>
        <v>Darlene Clark</v>
      </c>
      <c r="L607" t="str">
        <f t="shared" si="55"/>
        <v>Male</v>
      </c>
      <c r="M607" t="str">
        <f t="shared" si="56"/>
        <v>Thomas Williams</v>
      </c>
      <c r="N607" s="4" t="str">
        <f t="shared" si="57"/>
        <v>Neurology</v>
      </c>
      <c r="O607" s="6">
        <f t="shared" si="58"/>
        <v>378.58</v>
      </c>
      <c r="P607" s="4" t="str">
        <f t="shared" si="59"/>
        <v>No</v>
      </c>
      <c r="Q607" s="4" t="str">
        <f>IF(OR(A607="",C607="",L607="Missing",M607="Missing",O607="0.00",K607="Missing"),"Review","OK")</f>
        <v>OK</v>
      </c>
    </row>
    <row r="608" spans="1:17" x14ac:dyDescent="0.3">
      <c r="A608">
        <v>1040</v>
      </c>
      <c r="B608" t="s">
        <v>1711</v>
      </c>
      <c r="C608">
        <v>49</v>
      </c>
      <c r="D608" t="s">
        <v>16</v>
      </c>
      <c r="E608" s="3">
        <v>45829</v>
      </c>
      <c r="F608" s="3">
        <v>45573</v>
      </c>
      <c r="G608" t="s">
        <v>1949</v>
      </c>
      <c r="H608" t="s">
        <v>29</v>
      </c>
      <c r="I608" t="s">
        <v>1950</v>
      </c>
      <c r="J608" t="s">
        <v>65</v>
      </c>
      <c r="K608" t="str">
        <f t="shared" si="54"/>
        <v>Jessica Williams</v>
      </c>
      <c r="L608" t="str">
        <f t="shared" si="55"/>
        <v>Female</v>
      </c>
      <c r="M608" t="str">
        <f t="shared" si="56"/>
        <v>Corey King</v>
      </c>
      <c r="N608" s="4" t="str">
        <f t="shared" si="57"/>
        <v>General</v>
      </c>
      <c r="O608" s="6">
        <f t="shared" si="58"/>
        <v>110.44</v>
      </c>
      <c r="P608" s="4" t="str">
        <f t="shared" si="59"/>
        <v>No</v>
      </c>
      <c r="Q608" s="4" t="str">
        <f>IF(OR(A608="",C608="",L608="Missing",M608="Missing",O608="0.00",K608="Missing"),"Review","OK")</f>
        <v>OK</v>
      </c>
    </row>
    <row r="609" spans="1:17" x14ac:dyDescent="0.3">
      <c r="A609">
        <v>1010</v>
      </c>
      <c r="B609" t="s">
        <v>1951</v>
      </c>
      <c r="C609">
        <v>23</v>
      </c>
      <c r="D609" t="s">
        <v>41</v>
      </c>
      <c r="E609" s="3">
        <v>45759</v>
      </c>
      <c r="F609" s="3">
        <v>45548</v>
      </c>
      <c r="G609" t="s">
        <v>1952</v>
      </c>
      <c r="H609" t="s">
        <v>13</v>
      </c>
      <c r="I609" t="s">
        <v>1953</v>
      </c>
      <c r="J609">
        <v>0</v>
      </c>
      <c r="K609" t="str">
        <f t="shared" si="54"/>
        <v>Lauren Burns</v>
      </c>
      <c r="L609" t="str">
        <f t="shared" si="55"/>
        <v>Female</v>
      </c>
      <c r="M609" t="str">
        <f t="shared" si="56"/>
        <v>Amy Baxter</v>
      </c>
      <c r="N609" s="4" t="str">
        <f t="shared" si="57"/>
        <v>Cardiology</v>
      </c>
      <c r="O609" s="6">
        <f t="shared" si="58"/>
        <v>274.12</v>
      </c>
      <c r="P609" s="4" t="str">
        <f t="shared" si="59"/>
        <v>No</v>
      </c>
      <c r="Q609" s="4" t="str">
        <f>IF(OR(A609="",C609="",L609="Missing",M609="Missing",O609="0.00",K609="Missing"),"Review","OK")</f>
        <v>OK</v>
      </c>
    </row>
    <row r="610" spans="1:17" x14ac:dyDescent="0.3">
      <c r="A610">
        <v>1030</v>
      </c>
      <c r="B610" t="s">
        <v>1954</v>
      </c>
      <c r="C610">
        <v>69</v>
      </c>
      <c r="D610" t="s">
        <v>76</v>
      </c>
      <c r="E610" s="3">
        <v>46054</v>
      </c>
      <c r="F610" s="3">
        <v>45558</v>
      </c>
      <c r="G610" t="s">
        <v>1955</v>
      </c>
      <c r="H610" t="s">
        <v>25</v>
      </c>
      <c r="I610" t="s">
        <v>1956</v>
      </c>
      <c r="J610" t="s">
        <v>21</v>
      </c>
      <c r="K610" t="str">
        <f t="shared" si="54"/>
        <v>Jesse Wood</v>
      </c>
      <c r="L610" t="str">
        <f t="shared" si="55"/>
        <v>Male</v>
      </c>
      <c r="M610" t="str">
        <f t="shared" si="56"/>
        <v>Deborah Vasquez</v>
      </c>
      <c r="N610" s="4" t="str">
        <f t="shared" si="57"/>
        <v>Neurology</v>
      </c>
      <c r="O610" s="6">
        <f t="shared" si="58"/>
        <v>224.83</v>
      </c>
      <c r="P610" s="4" t="str">
        <f t="shared" si="59"/>
        <v>Yes</v>
      </c>
      <c r="Q610" s="4" t="str">
        <f>IF(OR(A610="",C610="",L610="Missing",M610="Missing",O610="0.00",K610="Missing"),"Review","OK")</f>
        <v>OK</v>
      </c>
    </row>
    <row r="611" spans="1:17" x14ac:dyDescent="0.3">
      <c r="A611">
        <v>1093</v>
      </c>
      <c r="B611" t="s">
        <v>1957</v>
      </c>
      <c r="C611">
        <v>72</v>
      </c>
      <c r="D611" t="s">
        <v>76</v>
      </c>
      <c r="E611" s="3">
        <v>45828</v>
      </c>
      <c r="F611" s="3">
        <v>45553</v>
      </c>
      <c r="G611" t="s">
        <v>1958</v>
      </c>
      <c r="H611" t="s">
        <v>29</v>
      </c>
      <c r="I611" t="s">
        <v>1959</v>
      </c>
      <c r="J611" t="s">
        <v>21</v>
      </c>
      <c r="K611" t="str">
        <f t="shared" si="54"/>
        <v>James Price</v>
      </c>
      <c r="L611" t="str">
        <f t="shared" si="55"/>
        <v>Male</v>
      </c>
      <c r="M611" t="str">
        <f t="shared" si="56"/>
        <v>Jessica Garcia</v>
      </c>
      <c r="N611" s="4" t="str">
        <f t="shared" si="57"/>
        <v>General</v>
      </c>
      <c r="O611" s="6">
        <f t="shared" si="58"/>
        <v>194.55</v>
      </c>
      <c r="P611" s="4" t="str">
        <f t="shared" si="59"/>
        <v>Yes</v>
      </c>
      <c r="Q611" s="4" t="str">
        <f>IF(OR(A611="",C611="",L611="Missing",M611="Missing",O611="0.00",K611="Missing"),"Review","OK")</f>
        <v>OK</v>
      </c>
    </row>
    <row r="612" spans="1:17" x14ac:dyDescent="0.3">
      <c r="A612">
        <v>1008</v>
      </c>
      <c r="B612" t="s">
        <v>1960</v>
      </c>
      <c r="C612">
        <v>82</v>
      </c>
      <c r="D612" t="s">
        <v>56</v>
      </c>
      <c r="E612" s="3">
        <v>46084</v>
      </c>
      <c r="F612" s="3">
        <v>45599</v>
      </c>
      <c r="G612" t="s">
        <v>1961</v>
      </c>
      <c r="H612" t="s">
        <v>13</v>
      </c>
      <c r="I612" t="s">
        <v>1962</v>
      </c>
      <c r="J612">
        <v>0</v>
      </c>
      <c r="K612" t="str">
        <f t="shared" si="54"/>
        <v>Darryl Murphy</v>
      </c>
      <c r="L612" t="str">
        <f t="shared" si="55"/>
        <v>Male</v>
      </c>
      <c r="M612" t="str">
        <f t="shared" si="56"/>
        <v>Christian Chapman</v>
      </c>
      <c r="N612" s="4" t="str">
        <f t="shared" si="57"/>
        <v>Cardiology</v>
      </c>
      <c r="O612" s="6">
        <f t="shared" si="58"/>
        <v>207.23</v>
      </c>
      <c r="P612" s="4" t="str">
        <f t="shared" si="59"/>
        <v>No</v>
      </c>
      <c r="Q612" s="4" t="str">
        <f>IF(OR(A612="",C612="",L612="Missing",M612="Missing",O612="0.00",K612="Missing"),"Review","OK")</f>
        <v>OK</v>
      </c>
    </row>
    <row r="613" spans="1:17" x14ac:dyDescent="0.3">
      <c r="A613">
        <v>1087</v>
      </c>
      <c r="B613" t="s">
        <v>1963</v>
      </c>
      <c r="C613">
        <v>69</v>
      </c>
      <c r="D613" t="s">
        <v>41</v>
      </c>
      <c r="E613" s="3">
        <v>45932</v>
      </c>
      <c r="F613" s="3" t="s">
        <v>1964</v>
      </c>
      <c r="G613" t="s">
        <v>1965</v>
      </c>
      <c r="H613" t="s">
        <v>13</v>
      </c>
      <c r="I613" t="s">
        <v>1966</v>
      </c>
      <c r="J613" t="s">
        <v>21</v>
      </c>
      <c r="K613" t="str">
        <f t="shared" si="54"/>
        <v>Maria Boyd</v>
      </c>
      <c r="L613" t="str">
        <f t="shared" si="55"/>
        <v>Female</v>
      </c>
      <c r="M613" t="str">
        <f t="shared" si="56"/>
        <v>Mike Miller</v>
      </c>
      <c r="N613" s="4" t="str">
        <f t="shared" si="57"/>
        <v>Cardiology</v>
      </c>
      <c r="O613" s="6">
        <f t="shared" si="58"/>
        <v>464.96</v>
      </c>
      <c r="P613" s="4" t="str">
        <f t="shared" si="59"/>
        <v>Yes</v>
      </c>
      <c r="Q613" s="4" t="str">
        <f>IF(OR(A613="",C613="",L613="Missing",M613="Missing",O613="0.00",K613="Missing"),"Review","OK")</f>
        <v>OK</v>
      </c>
    </row>
    <row r="614" spans="1:17" x14ac:dyDescent="0.3">
      <c r="A614">
        <v>1008</v>
      </c>
      <c r="B614" t="s">
        <v>1967</v>
      </c>
      <c r="C614">
        <v>30</v>
      </c>
      <c r="D614" t="s">
        <v>23</v>
      </c>
      <c r="E614" s="3">
        <v>46074</v>
      </c>
      <c r="F614" s="3">
        <v>45800</v>
      </c>
      <c r="G614" t="s">
        <v>1968</v>
      </c>
      <c r="H614" t="s">
        <v>13</v>
      </c>
      <c r="I614" t="s">
        <v>1969</v>
      </c>
      <c r="J614" t="s">
        <v>21</v>
      </c>
      <c r="K614" t="str">
        <f t="shared" si="54"/>
        <v>Jacqueline Howell</v>
      </c>
      <c r="L614" t="str">
        <f t="shared" si="55"/>
        <v>Male</v>
      </c>
      <c r="M614" t="str">
        <f t="shared" si="56"/>
        <v>Felicia Smith</v>
      </c>
      <c r="N614" s="4" t="str">
        <f t="shared" si="57"/>
        <v>Cardiology</v>
      </c>
      <c r="O614" s="6">
        <f t="shared" si="58"/>
        <v>316.64</v>
      </c>
      <c r="P614" s="4" t="str">
        <f t="shared" si="59"/>
        <v>Yes</v>
      </c>
      <c r="Q614" s="4" t="str">
        <f>IF(OR(A614="",C614="",L614="Missing",M614="Missing",O614="0.00",K614="Missing"),"Review","OK")</f>
        <v>OK</v>
      </c>
    </row>
    <row r="615" spans="1:17" x14ac:dyDescent="0.3">
      <c r="A615">
        <v>1090</v>
      </c>
      <c r="B615" t="s">
        <v>1970</v>
      </c>
      <c r="C615">
        <v>30</v>
      </c>
      <c r="D615" t="s">
        <v>11</v>
      </c>
      <c r="E615" s="3">
        <v>45801</v>
      </c>
      <c r="F615" s="3">
        <v>45419</v>
      </c>
      <c r="G615" t="s">
        <v>1971</v>
      </c>
      <c r="H615" t="s">
        <v>25</v>
      </c>
      <c r="I615" t="s">
        <v>1972</v>
      </c>
      <c r="J615">
        <v>1</v>
      </c>
      <c r="K615" t="str">
        <f t="shared" si="54"/>
        <v>Tracy Smith</v>
      </c>
      <c r="L615" t="str">
        <f t="shared" si="55"/>
        <v>Female</v>
      </c>
      <c r="M615" t="str">
        <f t="shared" si="56"/>
        <v>Amber Baxter</v>
      </c>
      <c r="N615" s="4" t="str">
        <f t="shared" si="57"/>
        <v>Neurology</v>
      </c>
      <c r="O615" s="6">
        <f t="shared" si="58"/>
        <v>139.49</v>
      </c>
      <c r="P615" s="4" t="str">
        <f t="shared" si="59"/>
        <v>Yes</v>
      </c>
      <c r="Q615" s="4" t="str">
        <f>IF(OR(A615="",C615="",L615="Missing",M615="Missing",O615="0.00",K615="Missing"),"Review","OK")</f>
        <v>OK</v>
      </c>
    </row>
    <row r="616" spans="1:17" x14ac:dyDescent="0.3">
      <c r="A616">
        <v>1047</v>
      </c>
      <c r="B616" t="s">
        <v>1973</v>
      </c>
      <c r="C616">
        <v>39</v>
      </c>
      <c r="D616">
        <v>1</v>
      </c>
      <c r="E616" s="3" t="s">
        <v>1974</v>
      </c>
      <c r="F616" s="3" t="s">
        <v>1429</v>
      </c>
      <c r="G616" t="s">
        <v>1975</v>
      </c>
      <c r="H616" t="s">
        <v>25</v>
      </c>
      <c r="I616" t="s">
        <v>1976</v>
      </c>
      <c r="J616" t="s">
        <v>31</v>
      </c>
      <c r="K616" t="str">
        <f t="shared" si="54"/>
        <v>Victoria Perry</v>
      </c>
      <c r="L616" t="str">
        <f t="shared" si="55"/>
        <v>Female</v>
      </c>
      <c r="M616" t="str">
        <f t="shared" si="56"/>
        <v>Heather Garcia</v>
      </c>
      <c r="N616" s="4" t="str">
        <f t="shared" si="57"/>
        <v>Neurology</v>
      </c>
      <c r="O616" s="6">
        <f t="shared" si="58"/>
        <v>447.23</v>
      </c>
      <c r="P616" s="4" t="str">
        <f t="shared" si="59"/>
        <v>No</v>
      </c>
      <c r="Q616" s="4" t="str">
        <f>IF(OR(A616="",C616="",L616="Missing",M616="Missing",O616="0.00",K616="Missing"),"Review","OK")</f>
        <v>OK</v>
      </c>
    </row>
    <row r="617" spans="1:17" x14ac:dyDescent="0.3">
      <c r="A617">
        <v>1077</v>
      </c>
      <c r="B617" t="s">
        <v>1977</v>
      </c>
      <c r="C617">
        <v>78</v>
      </c>
      <c r="D617">
        <v>0</v>
      </c>
      <c r="E617" s="3">
        <v>46010</v>
      </c>
      <c r="F617" s="3">
        <v>45915</v>
      </c>
      <c r="G617" t="s">
        <v>1978</v>
      </c>
      <c r="H617" t="s">
        <v>19</v>
      </c>
      <c r="I617" t="s">
        <v>1979</v>
      </c>
      <c r="J617">
        <v>1</v>
      </c>
      <c r="K617" t="str">
        <f t="shared" si="54"/>
        <v>Pamela Davis</v>
      </c>
      <c r="L617" t="str">
        <f t="shared" si="55"/>
        <v>Male</v>
      </c>
      <c r="M617" t="str">
        <f t="shared" si="56"/>
        <v>Antonio Galloway</v>
      </c>
      <c r="N617" s="4" t="str">
        <f t="shared" si="57"/>
        <v>Orthopedics</v>
      </c>
      <c r="O617" s="6">
        <f t="shared" si="58"/>
        <v>320.38</v>
      </c>
      <c r="P617" s="4" t="str">
        <f t="shared" si="59"/>
        <v>Yes</v>
      </c>
      <c r="Q617" s="4" t="str">
        <f>IF(OR(A617="",C617="",L617="Missing",M617="Missing",O617="0.00",K617="Missing"),"Review","OK")</f>
        <v>OK</v>
      </c>
    </row>
    <row r="618" spans="1:17" x14ac:dyDescent="0.3">
      <c r="A618">
        <v>1055</v>
      </c>
      <c r="B618" t="s">
        <v>1980</v>
      </c>
      <c r="C618">
        <v>70</v>
      </c>
      <c r="D618" t="s">
        <v>41</v>
      </c>
      <c r="E618" s="3" t="s">
        <v>1198</v>
      </c>
      <c r="F618" s="3">
        <v>45645</v>
      </c>
      <c r="G618" t="s">
        <v>1981</v>
      </c>
      <c r="H618" t="s">
        <v>19</v>
      </c>
      <c r="I618" t="s">
        <v>1982</v>
      </c>
      <c r="J618">
        <v>0</v>
      </c>
      <c r="K618" t="str">
        <f t="shared" si="54"/>
        <v>Stephanie Carr</v>
      </c>
      <c r="L618" t="str">
        <f t="shared" si="55"/>
        <v>Female</v>
      </c>
      <c r="M618" t="str">
        <f t="shared" si="56"/>
        <v>David Colon</v>
      </c>
      <c r="N618" s="4" t="str">
        <f t="shared" si="57"/>
        <v>Orthopedics</v>
      </c>
      <c r="O618" s="6">
        <f t="shared" si="58"/>
        <v>212.66</v>
      </c>
      <c r="P618" s="4" t="str">
        <f t="shared" si="59"/>
        <v>No</v>
      </c>
      <c r="Q618" s="4" t="str">
        <f>IF(OR(A618="",C618="",L618="Missing",M618="Missing",O618="0.00",K618="Missing"),"Review","OK")</f>
        <v>OK</v>
      </c>
    </row>
    <row r="619" spans="1:17" x14ac:dyDescent="0.3">
      <c r="A619">
        <v>1073</v>
      </c>
      <c r="B619" t="s">
        <v>1983</v>
      </c>
      <c r="C619">
        <v>50</v>
      </c>
      <c r="E619" s="3">
        <v>46041</v>
      </c>
      <c r="F619" s="3">
        <v>45383</v>
      </c>
      <c r="G619" t="s">
        <v>1984</v>
      </c>
      <c r="H619" t="s">
        <v>25</v>
      </c>
      <c r="I619" t="s">
        <v>1985</v>
      </c>
      <c r="J619">
        <v>0</v>
      </c>
      <c r="K619" t="str">
        <f t="shared" si="54"/>
        <v>Carrie Davis</v>
      </c>
      <c r="L619" t="str">
        <f t="shared" si="55"/>
        <v>Missing</v>
      </c>
      <c r="M619" t="str">
        <f t="shared" si="56"/>
        <v>Michael Jones</v>
      </c>
      <c r="N619" s="4" t="str">
        <f t="shared" si="57"/>
        <v>Neurology</v>
      </c>
      <c r="O619" s="6">
        <f t="shared" si="58"/>
        <v>390.86</v>
      </c>
      <c r="P619" s="4" t="str">
        <f t="shared" si="59"/>
        <v>No</v>
      </c>
      <c r="Q619" s="4" t="str">
        <f>IF(OR(A619="",C619="",L619="Missing",M619="Missing",O619="0.00",K619="Missing"),"Review","OK")</f>
        <v>Review</v>
      </c>
    </row>
    <row r="620" spans="1:17" x14ac:dyDescent="0.3">
      <c r="A620">
        <v>1016</v>
      </c>
      <c r="B620" t="s">
        <v>1986</v>
      </c>
      <c r="C620">
        <v>40</v>
      </c>
      <c r="E620" s="3">
        <v>45807</v>
      </c>
      <c r="F620" s="3" t="s">
        <v>17</v>
      </c>
      <c r="G620" t="s">
        <v>1987</v>
      </c>
      <c r="H620" t="s">
        <v>19</v>
      </c>
      <c r="I620" t="s">
        <v>1988</v>
      </c>
      <c r="J620">
        <v>1</v>
      </c>
      <c r="K620" t="str">
        <f t="shared" si="54"/>
        <v>Pamela Young</v>
      </c>
      <c r="L620" t="str">
        <f t="shared" si="55"/>
        <v>Missing</v>
      </c>
      <c r="M620" t="str">
        <f t="shared" si="56"/>
        <v>Yvonne Richardson</v>
      </c>
      <c r="N620" s="4" t="str">
        <f t="shared" si="57"/>
        <v>Orthopedics</v>
      </c>
      <c r="O620" s="6">
        <f t="shared" si="58"/>
        <v>136.22999999999999</v>
      </c>
      <c r="P620" s="4" t="str">
        <f t="shared" si="59"/>
        <v>Yes</v>
      </c>
      <c r="Q620" s="4" t="str">
        <f>IF(OR(A620="",C620="",L620="Missing",M620="Missing",O620="0.00",K620="Missing"),"Review","OK")</f>
        <v>Review</v>
      </c>
    </row>
    <row r="621" spans="1:17" x14ac:dyDescent="0.3">
      <c r="A621">
        <v>1018</v>
      </c>
      <c r="B621" t="s">
        <v>1989</v>
      </c>
      <c r="C621">
        <v>56</v>
      </c>
      <c r="D621" t="s">
        <v>11</v>
      </c>
      <c r="E621" s="3" t="s">
        <v>1990</v>
      </c>
      <c r="F621" s="3">
        <v>45696</v>
      </c>
      <c r="G621" t="s">
        <v>1991</v>
      </c>
      <c r="H621" t="s">
        <v>13</v>
      </c>
      <c r="I621" t="s">
        <v>1992</v>
      </c>
      <c r="J621">
        <v>1</v>
      </c>
      <c r="K621" t="str">
        <f t="shared" si="54"/>
        <v>Leonard Clark</v>
      </c>
      <c r="L621" t="str">
        <f t="shared" si="55"/>
        <v>Female</v>
      </c>
      <c r="M621" t="str">
        <f t="shared" si="56"/>
        <v>Robert Foster</v>
      </c>
      <c r="N621" s="4" t="str">
        <f t="shared" si="57"/>
        <v>Cardiology</v>
      </c>
      <c r="O621" s="6">
        <f t="shared" si="58"/>
        <v>68.8</v>
      </c>
      <c r="P621" s="4" t="str">
        <f t="shared" si="59"/>
        <v>Yes</v>
      </c>
      <c r="Q621" s="4" t="str">
        <f>IF(OR(A621="",C621="",L621="Missing",M621="Missing",O621="0.00",K621="Missing"),"Review","OK")</f>
        <v>OK</v>
      </c>
    </row>
    <row r="622" spans="1:17" x14ac:dyDescent="0.3">
      <c r="A622">
        <v>1035</v>
      </c>
      <c r="B622" t="s">
        <v>1993</v>
      </c>
      <c r="C622">
        <v>90</v>
      </c>
      <c r="D622">
        <v>0</v>
      </c>
      <c r="E622" s="3">
        <v>45876</v>
      </c>
      <c r="F622" s="3">
        <v>45649</v>
      </c>
      <c r="G622" t="s">
        <v>1994</v>
      </c>
      <c r="H622" t="s">
        <v>25</v>
      </c>
      <c r="I622" t="s">
        <v>1995</v>
      </c>
      <c r="J622">
        <v>0</v>
      </c>
      <c r="K622" t="str">
        <f t="shared" si="54"/>
        <v>Michele Perry</v>
      </c>
      <c r="L622" t="str">
        <f t="shared" si="55"/>
        <v>Male</v>
      </c>
      <c r="M622" t="str">
        <f t="shared" si="56"/>
        <v>Leslie Gomez</v>
      </c>
      <c r="N622" s="4" t="str">
        <f t="shared" si="57"/>
        <v>Neurology</v>
      </c>
      <c r="O622" s="6">
        <f t="shared" si="58"/>
        <v>79.41</v>
      </c>
      <c r="P622" s="4" t="str">
        <f t="shared" si="59"/>
        <v>No</v>
      </c>
      <c r="Q622" s="4" t="str">
        <f>IF(OR(A622="",C622="",L622="Missing",M622="Missing",O622="0.00",K622="Missing"),"Review","OK")</f>
        <v>OK</v>
      </c>
    </row>
    <row r="623" spans="1:17" x14ac:dyDescent="0.3">
      <c r="A623">
        <v>1032</v>
      </c>
      <c r="B623" t="s">
        <v>1996</v>
      </c>
      <c r="C623">
        <v>89</v>
      </c>
      <c r="D623" t="s">
        <v>76</v>
      </c>
      <c r="E623" s="3">
        <v>46071</v>
      </c>
      <c r="F623" s="3">
        <v>45599</v>
      </c>
      <c r="G623" t="s">
        <v>1997</v>
      </c>
      <c r="H623" t="s">
        <v>19</v>
      </c>
      <c r="I623" t="s">
        <v>1998</v>
      </c>
      <c r="J623" t="s">
        <v>65</v>
      </c>
      <c r="K623" t="str">
        <f t="shared" si="54"/>
        <v>Ryan Tucker</v>
      </c>
      <c r="L623" t="str">
        <f t="shared" si="55"/>
        <v>Male</v>
      </c>
      <c r="M623" t="str">
        <f t="shared" si="56"/>
        <v>Barbara Owens</v>
      </c>
      <c r="N623" s="4" t="str">
        <f t="shared" si="57"/>
        <v>Orthopedics</v>
      </c>
      <c r="O623" s="6">
        <f t="shared" si="58"/>
        <v>224.61</v>
      </c>
      <c r="P623" s="4" t="str">
        <f t="shared" si="59"/>
        <v>No</v>
      </c>
      <c r="Q623" s="4" t="str">
        <f>IF(OR(A623="",C623="",L623="Missing",M623="Missing",O623="0.00",K623="Missing"),"Review","OK")</f>
        <v>OK</v>
      </c>
    </row>
    <row r="624" spans="1:17" x14ac:dyDescent="0.3">
      <c r="A624">
        <v>1024</v>
      </c>
      <c r="B624" t="s">
        <v>1999</v>
      </c>
      <c r="C624">
        <v>20</v>
      </c>
      <c r="D624" t="s">
        <v>23</v>
      </c>
      <c r="E624" s="3">
        <v>45977</v>
      </c>
      <c r="F624" s="3">
        <v>45615</v>
      </c>
      <c r="G624" t="s">
        <v>2000</v>
      </c>
      <c r="H624" t="s">
        <v>29</v>
      </c>
      <c r="I624" t="s">
        <v>2001</v>
      </c>
      <c r="J624" t="s">
        <v>65</v>
      </c>
      <c r="K624" t="str">
        <f t="shared" si="54"/>
        <v>Kelsey Rice</v>
      </c>
      <c r="L624" t="str">
        <f t="shared" si="55"/>
        <v>Male</v>
      </c>
      <c r="M624" t="str">
        <f t="shared" si="56"/>
        <v>Darren Jensen</v>
      </c>
      <c r="N624" s="4" t="str">
        <f t="shared" si="57"/>
        <v>General</v>
      </c>
      <c r="O624" s="6">
        <f t="shared" si="58"/>
        <v>190.44</v>
      </c>
      <c r="P624" s="4" t="str">
        <f t="shared" si="59"/>
        <v>No</v>
      </c>
      <c r="Q624" s="4" t="str">
        <f>IF(OR(A624="",C624="",L624="Missing",M624="Missing",O624="0.00",K624="Missing"),"Review","OK")</f>
        <v>OK</v>
      </c>
    </row>
    <row r="625" spans="1:17" x14ac:dyDescent="0.3">
      <c r="A625">
        <v>1044</v>
      </c>
      <c r="B625" t="s">
        <v>2002</v>
      </c>
      <c r="C625">
        <v>25</v>
      </c>
      <c r="D625" t="s">
        <v>16</v>
      </c>
      <c r="E625" s="3">
        <v>46089</v>
      </c>
      <c r="F625" s="3">
        <v>45972</v>
      </c>
      <c r="G625" t="s">
        <v>2003</v>
      </c>
      <c r="H625" t="s">
        <v>29</v>
      </c>
      <c r="I625" t="s">
        <v>2004</v>
      </c>
      <c r="J625" t="s">
        <v>21</v>
      </c>
      <c r="K625" t="str">
        <f t="shared" si="54"/>
        <v>Monique Daniels</v>
      </c>
      <c r="L625" t="str">
        <f t="shared" si="55"/>
        <v>Female</v>
      </c>
      <c r="M625" t="str">
        <f t="shared" si="56"/>
        <v>Alexander Brown</v>
      </c>
      <c r="N625" s="4" t="str">
        <f t="shared" si="57"/>
        <v>General</v>
      </c>
      <c r="O625" s="6">
        <f t="shared" si="58"/>
        <v>316.64</v>
      </c>
      <c r="P625" s="4" t="str">
        <f t="shared" si="59"/>
        <v>Yes</v>
      </c>
      <c r="Q625" s="4" t="str">
        <f>IF(OR(A625="",C625="",L625="Missing",M625="Missing",O625="0.00",K625="Missing"),"Review","OK")</f>
        <v>OK</v>
      </c>
    </row>
    <row r="626" spans="1:17" x14ac:dyDescent="0.3">
      <c r="A626">
        <v>1085</v>
      </c>
      <c r="B626" t="s">
        <v>2005</v>
      </c>
      <c r="C626">
        <v>67</v>
      </c>
      <c r="D626" t="s">
        <v>41</v>
      </c>
      <c r="E626" s="3">
        <v>45797</v>
      </c>
      <c r="F626" s="3">
        <v>45736</v>
      </c>
      <c r="G626" t="s">
        <v>2006</v>
      </c>
      <c r="H626" t="s">
        <v>19</v>
      </c>
      <c r="I626" t="s">
        <v>2007</v>
      </c>
      <c r="J626" t="s">
        <v>65</v>
      </c>
      <c r="K626" t="str">
        <f t="shared" si="54"/>
        <v>Joseph Mcmillan</v>
      </c>
      <c r="L626" t="str">
        <f t="shared" si="55"/>
        <v>Female</v>
      </c>
      <c r="M626" t="str">
        <f t="shared" si="56"/>
        <v>Frederick Nielsen</v>
      </c>
      <c r="N626" s="4" t="str">
        <f t="shared" si="57"/>
        <v>Orthopedics</v>
      </c>
      <c r="O626" s="6">
        <f t="shared" si="58"/>
        <v>308.58999999999997</v>
      </c>
      <c r="P626" s="4" t="str">
        <f t="shared" si="59"/>
        <v>No</v>
      </c>
      <c r="Q626" s="4" t="str">
        <f>IF(OR(A626="",C626="",L626="Missing",M626="Missing",O626="0.00",K626="Missing"),"Review","OK")</f>
        <v>OK</v>
      </c>
    </row>
    <row r="627" spans="1:17" x14ac:dyDescent="0.3">
      <c r="A627">
        <v>1089</v>
      </c>
      <c r="B627" t="s">
        <v>2008</v>
      </c>
      <c r="C627">
        <v>75</v>
      </c>
      <c r="D627" t="s">
        <v>11</v>
      </c>
      <c r="E627" s="3" t="s">
        <v>2009</v>
      </c>
      <c r="F627" s="3">
        <v>45813</v>
      </c>
      <c r="G627" t="s">
        <v>2010</v>
      </c>
      <c r="H627" t="s">
        <v>13</v>
      </c>
      <c r="I627" t="s">
        <v>2011</v>
      </c>
      <c r="J627" t="s">
        <v>39</v>
      </c>
      <c r="K627" t="str">
        <f t="shared" si="54"/>
        <v>Miss Christine Lopez</v>
      </c>
      <c r="L627" t="str">
        <f t="shared" si="55"/>
        <v>Female</v>
      </c>
      <c r="M627" t="str">
        <f t="shared" si="56"/>
        <v>Cynthia Turner</v>
      </c>
      <c r="N627" s="4" t="str">
        <f t="shared" si="57"/>
        <v>Cardiology</v>
      </c>
      <c r="O627" s="6">
        <f t="shared" si="58"/>
        <v>414.58</v>
      </c>
      <c r="P627" s="4" t="str">
        <f t="shared" si="59"/>
        <v>Yes</v>
      </c>
      <c r="Q627" s="4" t="str">
        <f>IF(OR(A627="",C627="",L627="Missing",M627="Missing",O627="0.00",K627="Missing"),"Review","OK")</f>
        <v>OK</v>
      </c>
    </row>
    <row r="628" spans="1:17" x14ac:dyDescent="0.3">
      <c r="A628">
        <v>1064</v>
      </c>
      <c r="B628" t="s">
        <v>2012</v>
      </c>
      <c r="C628">
        <v>54</v>
      </c>
      <c r="D628">
        <v>1</v>
      </c>
      <c r="E628" s="3">
        <v>45849</v>
      </c>
      <c r="F628" s="3">
        <v>45468</v>
      </c>
      <c r="G628" t="s">
        <v>2013</v>
      </c>
      <c r="H628" t="s">
        <v>13</v>
      </c>
      <c r="I628" t="s">
        <v>2014</v>
      </c>
      <c r="J628" t="s">
        <v>21</v>
      </c>
      <c r="K628" t="str">
        <f t="shared" si="54"/>
        <v>Christy Nunez</v>
      </c>
      <c r="L628" t="str">
        <f t="shared" si="55"/>
        <v>Female</v>
      </c>
      <c r="M628" t="str">
        <f t="shared" si="56"/>
        <v>Theresa Parker</v>
      </c>
      <c r="N628" s="4" t="str">
        <f t="shared" si="57"/>
        <v>Cardiology</v>
      </c>
      <c r="O628" s="6">
        <f t="shared" si="58"/>
        <v>338.24</v>
      </c>
      <c r="P628" s="4" t="str">
        <f t="shared" si="59"/>
        <v>Yes</v>
      </c>
      <c r="Q628" s="4" t="str">
        <f>IF(OR(A628="",C628="",L628="Missing",M628="Missing",O628="0.00",K628="Missing"),"Review","OK")</f>
        <v>OK</v>
      </c>
    </row>
    <row r="629" spans="1:17" x14ac:dyDescent="0.3">
      <c r="A629">
        <v>1077</v>
      </c>
      <c r="B629" t="s">
        <v>2015</v>
      </c>
      <c r="C629">
        <v>57</v>
      </c>
      <c r="D629" t="s">
        <v>16</v>
      </c>
      <c r="E629" s="3">
        <v>45995</v>
      </c>
      <c r="F629" s="3">
        <v>45577</v>
      </c>
      <c r="G629" t="s">
        <v>2016</v>
      </c>
      <c r="H629" t="s">
        <v>25</v>
      </c>
      <c r="I629" t="s">
        <v>2017</v>
      </c>
      <c r="J629" t="s">
        <v>65</v>
      </c>
      <c r="K629" t="str">
        <f t="shared" si="54"/>
        <v>Jeff Lynch</v>
      </c>
      <c r="L629" t="str">
        <f t="shared" si="55"/>
        <v>Female</v>
      </c>
      <c r="M629" t="str">
        <f t="shared" si="56"/>
        <v>Joseph Gibbs</v>
      </c>
      <c r="N629" s="4" t="str">
        <f t="shared" si="57"/>
        <v>Neurology</v>
      </c>
      <c r="O629" s="6">
        <f t="shared" si="58"/>
        <v>53.35</v>
      </c>
      <c r="P629" s="4" t="str">
        <f t="shared" si="59"/>
        <v>No</v>
      </c>
      <c r="Q629" s="4" t="str">
        <f>IF(OR(A629="",C629="",L629="Missing",M629="Missing",O629="0.00",K629="Missing"),"Review","OK")</f>
        <v>OK</v>
      </c>
    </row>
    <row r="630" spans="1:17" x14ac:dyDescent="0.3">
      <c r="A630">
        <v>1092</v>
      </c>
      <c r="B630" t="s">
        <v>2018</v>
      </c>
      <c r="C630">
        <v>89</v>
      </c>
      <c r="D630" t="s">
        <v>16</v>
      </c>
      <c r="E630" s="3">
        <v>45840</v>
      </c>
      <c r="F630" s="3">
        <v>45755</v>
      </c>
      <c r="G630" t="s">
        <v>2019</v>
      </c>
      <c r="H630" t="s">
        <v>29</v>
      </c>
      <c r="I630" t="s">
        <v>2020</v>
      </c>
      <c r="J630" t="s">
        <v>31</v>
      </c>
      <c r="K630" t="str">
        <f t="shared" si="54"/>
        <v>James Mendez</v>
      </c>
      <c r="L630" t="str">
        <f t="shared" si="55"/>
        <v>Female</v>
      </c>
      <c r="M630" t="str">
        <f t="shared" si="56"/>
        <v>Jackie Brooks</v>
      </c>
      <c r="N630" s="4" t="str">
        <f t="shared" si="57"/>
        <v>General</v>
      </c>
      <c r="O630" s="6">
        <f t="shared" si="58"/>
        <v>186.43</v>
      </c>
      <c r="P630" s="4" t="str">
        <f t="shared" si="59"/>
        <v>No</v>
      </c>
      <c r="Q630" s="4" t="str">
        <f>IF(OR(A630="",C630="",L630="Missing",M630="Missing",O630="0.00",K630="Missing"),"Review","OK")</f>
        <v>OK</v>
      </c>
    </row>
    <row r="631" spans="1:17" x14ac:dyDescent="0.3">
      <c r="A631">
        <v>1084</v>
      </c>
      <c r="B631" t="s">
        <v>2021</v>
      </c>
      <c r="C631">
        <v>42</v>
      </c>
      <c r="D631" t="s">
        <v>41</v>
      </c>
      <c r="E631" s="3">
        <v>45796</v>
      </c>
      <c r="F631" s="3">
        <v>45484</v>
      </c>
      <c r="G631" t="s">
        <v>2022</v>
      </c>
      <c r="H631" t="s">
        <v>29</v>
      </c>
      <c r="I631" t="s">
        <v>2023</v>
      </c>
      <c r="J631">
        <v>0</v>
      </c>
      <c r="K631" t="str">
        <f t="shared" si="54"/>
        <v>Kelly Hess</v>
      </c>
      <c r="L631" t="str">
        <f t="shared" si="55"/>
        <v>Female</v>
      </c>
      <c r="M631" t="str">
        <f t="shared" si="56"/>
        <v>Seth Benson</v>
      </c>
      <c r="N631" s="4" t="str">
        <f t="shared" si="57"/>
        <v>General</v>
      </c>
      <c r="O631" s="6">
        <f t="shared" si="58"/>
        <v>268.93</v>
      </c>
      <c r="P631" s="4" t="str">
        <f t="shared" si="59"/>
        <v>No</v>
      </c>
      <c r="Q631" s="4" t="str">
        <f>IF(OR(A631="",C631="",L631="Missing",M631="Missing",O631="0.00",K631="Missing"),"Review","OK")</f>
        <v>OK</v>
      </c>
    </row>
    <row r="632" spans="1:17" x14ac:dyDescent="0.3">
      <c r="A632">
        <v>1044</v>
      </c>
      <c r="B632" t="s">
        <v>2024</v>
      </c>
      <c r="C632">
        <v>79</v>
      </c>
      <c r="D632">
        <v>0</v>
      </c>
      <c r="E632" s="3">
        <v>46014</v>
      </c>
      <c r="F632" s="3">
        <v>45707</v>
      </c>
      <c r="G632" t="s">
        <v>2025</v>
      </c>
      <c r="H632" t="s">
        <v>29</v>
      </c>
      <c r="I632" t="s">
        <v>2026</v>
      </c>
      <c r="J632">
        <v>1</v>
      </c>
      <c r="K632" t="str">
        <f t="shared" si="54"/>
        <v>Sandra Wilson</v>
      </c>
      <c r="L632" t="str">
        <f t="shared" si="55"/>
        <v>Male</v>
      </c>
      <c r="M632" t="str">
        <f t="shared" si="56"/>
        <v>Cheryl Adams</v>
      </c>
      <c r="N632" s="4" t="str">
        <f t="shared" si="57"/>
        <v>General</v>
      </c>
      <c r="O632" s="6">
        <f t="shared" si="58"/>
        <v>322</v>
      </c>
      <c r="P632" s="4" t="str">
        <f t="shared" si="59"/>
        <v>Yes</v>
      </c>
      <c r="Q632" s="4" t="str">
        <f>IF(OR(A632="",C632="",L632="Missing",M632="Missing",O632="0.00",K632="Missing"),"Review","OK")</f>
        <v>OK</v>
      </c>
    </row>
    <row r="633" spans="1:17" x14ac:dyDescent="0.3">
      <c r="A633">
        <v>1080</v>
      </c>
      <c r="B633" t="s">
        <v>2027</v>
      </c>
      <c r="C633">
        <v>80</v>
      </c>
      <c r="D633" t="s">
        <v>23</v>
      </c>
      <c r="E633" s="3">
        <v>46113</v>
      </c>
      <c r="F633" s="3">
        <v>45948</v>
      </c>
      <c r="G633" t="s">
        <v>2028</v>
      </c>
      <c r="H633" t="s">
        <v>29</v>
      </c>
      <c r="I633" t="s">
        <v>2029</v>
      </c>
      <c r="J633" t="s">
        <v>65</v>
      </c>
      <c r="K633" t="str">
        <f t="shared" si="54"/>
        <v>Jennifer Williams</v>
      </c>
      <c r="L633" t="str">
        <f t="shared" si="55"/>
        <v>Male</v>
      </c>
      <c r="M633" t="str">
        <f t="shared" si="56"/>
        <v>Emily Barnes</v>
      </c>
      <c r="N633" s="4" t="str">
        <f t="shared" si="57"/>
        <v>General</v>
      </c>
      <c r="O633" s="6">
        <f t="shared" si="58"/>
        <v>498.84</v>
      </c>
      <c r="P633" s="4" t="str">
        <f t="shared" si="59"/>
        <v>No</v>
      </c>
      <c r="Q633" s="4" t="str">
        <f>IF(OR(A633="",C633="",L633="Missing",M633="Missing",O633="0.00",K633="Missing"),"Review","OK")</f>
        <v>OK</v>
      </c>
    </row>
    <row r="634" spans="1:17" x14ac:dyDescent="0.3">
      <c r="A634">
        <v>1097</v>
      </c>
      <c r="B634" t="s">
        <v>2030</v>
      </c>
      <c r="C634">
        <v>86</v>
      </c>
      <c r="E634" s="3">
        <v>45778</v>
      </c>
      <c r="F634" s="3">
        <v>45523</v>
      </c>
      <c r="G634" t="s">
        <v>2031</v>
      </c>
      <c r="H634" t="s">
        <v>13</v>
      </c>
      <c r="I634" t="s">
        <v>2032</v>
      </c>
      <c r="J634" t="s">
        <v>39</v>
      </c>
      <c r="K634" t="str">
        <f t="shared" si="54"/>
        <v>Kathryn Green</v>
      </c>
      <c r="L634" t="str">
        <f t="shared" si="55"/>
        <v>Missing</v>
      </c>
      <c r="M634" t="str">
        <f t="shared" si="56"/>
        <v>Robert Moreno</v>
      </c>
      <c r="N634" s="4" t="str">
        <f t="shared" si="57"/>
        <v>Cardiology</v>
      </c>
      <c r="O634" s="6">
        <f t="shared" si="58"/>
        <v>415.78</v>
      </c>
      <c r="P634" s="4" t="str">
        <f t="shared" si="59"/>
        <v>Yes</v>
      </c>
      <c r="Q634" s="4" t="str">
        <f>IF(OR(A634="",C634="",L634="Missing",M634="Missing",O634="0.00",K634="Missing"),"Review","OK")</f>
        <v>Review</v>
      </c>
    </row>
    <row r="635" spans="1:17" x14ac:dyDescent="0.3">
      <c r="A635">
        <v>1035</v>
      </c>
      <c r="B635" t="s">
        <v>2033</v>
      </c>
      <c r="C635">
        <v>75</v>
      </c>
      <c r="D635" t="s">
        <v>56</v>
      </c>
      <c r="E635" s="3" t="s">
        <v>2034</v>
      </c>
      <c r="F635" s="3">
        <v>45659</v>
      </c>
      <c r="G635" t="s">
        <v>2035</v>
      </c>
      <c r="H635" t="s">
        <v>29</v>
      </c>
      <c r="I635" t="s">
        <v>2036</v>
      </c>
      <c r="J635" t="s">
        <v>39</v>
      </c>
      <c r="K635" t="str">
        <f t="shared" si="54"/>
        <v>Holly Potter</v>
      </c>
      <c r="L635" t="str">
        <f t="shared" si="55"/>
        <v>Male</v>
      </c>
      <c r="M635" t="str">
        <f t="shared" si="56"/>
        <v>Christina Mitchell</v>
      </c>
      <c r="N635" s="4" t="str">
        <f t="shared" si="57"/>
        <v>General</v>
      </c>
      <c r="O635" s="6">
        <f t="shared" si="58"/>
        <v>274.5</v>
      </c>
      <c r="P635" s="4" t="str">
        <f t="shared" si="59"/>
        <v>Yes</v>
      </c>
      <c r="Q635" s="4" t="str">
        <f>IF(OR(A635="",C635="",L635="Missing",M635="Missing",O635="0.00",K635="Missing"),"Review","OK")</f>
        <v>OK</v>
      </c>
    </row>
    <row r="636" spans="1:17" x14ac:dyDescent="0.3">
      <c r="A636">
        <v>1069</v>
      </c>
      <c r="B636" t="s">
        <v>2037</v>
      </c>
      <c r="C636">
        <v>23</v>
      </c>
      <c r="D636">
        <v>0</v>
      </c>
      <c r="E636" s="3">
        <v>45944</v>
      </c>
      <c r="F636" s="3">
        <v>45871</v>
      </c>
      <c r="G636" t="s">
        <v>2038</v>
      </c>
      <c r="H636" t="s">
        <v>25</v>
      </c>
      <c r="I636" t="s">
        <v>2039</v>
      </c>
      <c r="J636">
        <v>1</v>
      </c>
      <c r="K636" t="str">
        <f t="shared" si="54"/>
        <v>Catherine Stein</v>
      </c>
      <c r="L636" t="str">
        <f t="shared" si="55"/>
        <v>Male</v>
      </c>
      <c r="M636" t="str">
        <f t="shared" si="56"/>
        <v>Donald Jacobson</v>
      </c>
      <c r="N636" s="4" t="str">
        <f t="shared" si="57"/>
        <v>Neurology</v>
      </c>
      <c r="O636" s="6">
        <f t="shared" si="58"/>
        <v>368.24</v>
      </c>
      <c r="P636" s="4" t="str">
        <f t="shared" si="59"/>
        <v>Yes</v>
      </c>
      <c r="Q636" s="4" t="str">
        <f>IF(OR(A636="",C636="",L636="Missing",M636="Missing",O636="0.00",K636="Missing"),"Review","OK")</f>
        <v>OK</v>
      </c>
    </row>
    <row r="637" spans="1:17" x14ac:dyDescent="0.3">
      <c r="A637">
        <v>1016</v>
      </c>
      <c r="B637" t="s">
        <v>2040</v>
      </c>
      <c r="C637">
        <v>46</v>
      </c>
      <c r="D637" t="s">
        <v>23</v>
      </c>
      <c r="E637" s="3" t="s">
        <v>2041</v>
      </c>
      <c r="F637" s="3">
        <v>45584</v>
      </c>
      <c r="G637" t="s">
        <v>2042</v>
      </c>
      <c r="H637" t="s">
        <v>19</v>
      </c>
      <c r="I637" t="s">
        <v>2043</v>
      </c>
      <c r="J637">
        <v>1</v>
      </c>
      <c r="K637" t="str">
        <f t="shared" si="54"/>
        <v>Wendy Andrews</v>
      </c>
      <c r="L637" t="str">
        <f t="shared" si="55"/>
        <v>Male</v>
      </c>
      <c r="M637" t="str">
        <f t="shared" si="56"/>
        <v>Kimberly Wilcox</v>
      </c>
      <c r="N637" s="4" t="str">
        <f t="shared" si="57"/>
        <v>Orthopedics</v>
      </c>
      <c r="O637" s="6">
        <f t="shared" si="58"/>
        <v>353.07</v>
      </c>
      <c r="P637" s="4" t="str">
        <f t="shared" si="59"/>
        <v>Yes</v>
      </c>
      <c r="Q637" s="4" t="str">
        <f>IF(OR(A637="",C637="",L637="Missing",M637="Missing",O637="0.00",K637="Missing"),"Review","OK")</f>
        <v>OK</v>
      </c>
    </row>
    <row r="638" spans="1:17" x14ac:dyDescent="0.3">
      <c r="A638">
        <v>1098</v>
      </c>
      <c r="B638" t="s">
        <v>2044</v>
      </c>
      <c r="C638">
        <v>29</v>
      </c>
      <c r="D638" t="s">
        <v>16</v>
      </c>
      <c r="E638" s="3">
        <v>45970</v>
      </c>
      <c r="F638" s="3">
        <v>45854</v>
      </c>
      <c r="G638" t="s">
        <v>2045</v>
      </c>
      <c r="H638" t="s">
        <v>13</v>
      </c>
      <c r="I638" t="s">
        <v>2046</v>
      </c>
      <c r="J638">
        <v>0</v>
      </c>
      <c r="K638" t="str">
        <f t="shared" si="54"/>
        <v>Richard Alexander</v>
      </c>
      <c r="L638" t="str">
        <f t="shared" si="55"/>
        <v>Female</v>
      </c>
      <c r="M638" t="str">
        <f t="shared" si="56"/>
        <v>Monica Torres</v>
      </c>
      <c r="N638" s="4" t="str">
        <f t="shared" si="57"/>
        <v>Cardiology</v>
      </c>
      <c r="O638" s="6">
        <f t="shared" si="58"/>
        <v>358.68</v>
      </c>
      <c r="P638" s="4" t="str">
        <f t="shared" si="59"/>
        <v>No</v>
      </c>
      <c r="Q638" s="4" t="str">
        <f>IF(OR(A638="",C638="",L638="Missing",M638="Missing",O638="0.00",K638="Missing"),"Review","OK")</f>
        <v>OK</v>
      </c>
    </row>
    <row r="639" spans="1:17" x14ac:dyDescent="0.3">
      <c r="A639">
        <v>1012</v>
      </c>
      <c r="B639" t="s">
        <v>2047</v>
      </c>
      <c r="C639">
        <v>38</v>
      </c>
      <c r="D639" t="s">
        <v>23</v>
      </c>
      <c r="E639" s="3">
        <v>46054</v>
      </c>
      <c r="F639" s="3">
        <v>45398</v>
      </c>
      <c r="G639" t="s">
        <v>2048</v>
      </c>
      <c r="H639" t="s">
        <v>19</v>
      </c>
      <c r="I639" t="s">
        <v>2049</v>
      </c>
      <c r="J639" t="s">
        <v>65</v>
      </c>
      <c r="K639" t="str">
        <f t="shared" si="54"/>
        <v>Javier Hawkins</v>
      </c>
      <c r="L639" t="str">
        <f t="shared" si="55"/>
        <v>Male</v>
      </c>
      <c r="M639" t="str">
        <f t="shared" si="56"/>
        <v>Debra Fields</v>
      </c>
      <c r="N639" s="4" t="str">
        <f t="shared" si="57"/>
        <v>Orthopedics</v>
      </c>
      <c r="O639" s="6">
        <f t="shared" si="58"/>
        <v>427.54</v>
      </c>
      <c r="P639" s="4" t="str">
        <f t="shared" si="59"/>
        <v>No</v>
      </c>
      <c r="Q639" s="4" t="str">
        <f>IF(OR(A639="",C639="",L639="Missing",M639="Missing",O639="0.00",K639="Missing"),"Review","OK")</f>
        <v>OK</v>
      </c>
    </row>
    <row r="640" spans="1:17" x14ac:dyDescent="0.3">
      <c r="A640">
        <v>1100</v>
      </c>
      <c r="B640" t="s">
        <v>2050</v>
      </c>
      <c r="C640">
        <v>60</v>
      </c>
      <c r="D640" t="s">
        <v>11</v>
      </c>
      <c r="E640" s="3">
        <v>45907</v>
      </c>
      <c r="F640" s="3">
        <v>45395</v>
      </c>
      <c r="G640" t="s">
        <v>2051</v>
      </c>
      <c r="H640" t="s">
        <v>19</v>
      </c>
      <c r="I640" t="s">
        <v>2052</v>
      </c>
      <c r="J640" t="s">
        <v>39</v>
      </c>
      <c r="K640" t="str">
        <f t="shared" si="54"/>
        <v>Sonya Wheeler</v>
      </c>
      <c r="L640" t="str">
        <f t="shared" si="55"/>
        <v>Female</v>
      </c>
      <c r="M640" t="str">
        <f t="shared" si="56"/>
        <v>Adam Carlson</v>
      </c>
      <c r="N640" s="4" t="str">
        <f t="shared" si="57"/>
        <v>Orthopedics</v>
      </c>
      <c r="O640" s="6">
        <f t="shared" si="58"/>
        <v>433.05</v>
      </c>
      <c r="P640" s="4" t="str">
        <f t="shared" si="59"/>
        <v>Yes</v>
      </c>
      <c r="Q640" s="4" t="str">
        <f>IF(OR(A640="",C640="",L640="Missing",M640="Missing",O640="0.00",K640="Missing"),"Review","OK")</f>
        <v>OK</v>
      </c>
    </row>
    <row r="641" spans="1:17" x14ac:dyDescent="0.3">
      <c r="A641">
        <v>1021</v>
      </c>
      <c r="B641" t="s">
        <v>2053</v>
      </c>
      <c r="C641">
        <v>37</v>
      </c>
      <c r="D641">
        <v>0</v>
      </c>
      <c r="E641" s="3">
        <v>45918</v>
      </c>
      <c r="F641" s="3">
        <v>45613</v>
      </c>
      <c r="G641" t="s">
        <v>2054</v>
      </c>
      <c r="H641" t="s">
        <v>13</v>
      </c>
      <c r="I641" t="s">
        <v>2055</v>
      </c>
      <c r="J641" t="s">
        <v>31</v>
      </c>
      <c r="K641" t="str">
        <f t="shared" si="54"/>
        <v>Jessica Castillo</v>
      </c>
      <c r="L641" t="str">
        <f t="shared" si="55"/>
        <v>Male</v>
      </c>
      <c r="M641" t="str">
        <f t="shared" si="56"/>
        <v>Bryan Newton</v>
      </c>
      <c r="N641" s="4" t="str">
        <f t="shared" si="57"/>
        <v>Cardiology</v>
      </c>
      <c r="O641" s="6">
        <f t="shared" si="58"/>
        <v>436.91</v>
      </c>
      <c r="P641" s="4" t="str">
        <f t="shared" si="59"/>
        <v>No</v>
      </c>
      <c r="Q641" s="4" t="str">
        <f>IF(OR(A641="",C641="",L641="Missing",M641="Missing",O641="0.00",K641="Missing"),"Review","OK")</f>
        <v>OK</v>
      </c>
    </row>
    <row r="642" spans="1:17" x14ac:dyDescent="0.3">
      <c r="A642">
        <v>1078</v>
      </c>
      <c r="B642" t="s">
        <v>2056</v>
      </c>
      <c r="C642">
        <v>82</v>
      </c>
      <c r="D642">
        <v>1</v>
      </c>
      <c r="E642" s="3">
        <v>46046</v>
      </c>
      <c r="F642" s="3">
        <v>45568</v>
      </c>
      <c r="G642" t="s">
        <v>2057</v>
      </c>
      <c r="H642" t="s">
        <v>19</v>
      </c>
      <c r="I642" t="s">
        <v>2058</v>
      </c>
      <c r="J642">
        <v>0</v>
      </c>
      <c r="K642" t="str">
        <f t="shared" ref="K642:K705" si="60">PROPER(TRIM(CLEAN(B642)))</f>
        <v>Courtney Powell</v>
      </c>
      <c r="L642" t="str">
        <f t="shared" ref="L642:L705" si="61">_xlfn.LET(_xlpm.x,LOWER(TRIM(D642)),
IF(OR(_xlpm.x="f",_xlpm.x="female",_xlpm.x="1"),"Female",
IF(OR(_xlpm.x="m",_xlpm.x="male",_xlpm.x="0"),"Male",
IF(_xlpm.x="","Missing","Review"))))</f>
        <v>Female</v>
      </c>
      <c r="M642" t="str">
        <f t="shared" ref="M642:M705" si="62">PROPER(TRIM(CLEAN(G642)))</f>
        <v>Kelly Hardin</v>
      </c>
      <c r="N642" s="4" t="str">
        <f t="shared" ref="N642:N705" si="63">PROPER(TRIM(CLEAN(H642)))</f>
        <v>Orthopedics</v>
      </c>
      <c r="O642" s="6">
        <f t="shared" ref="O642:O705" si="64">_xlfn.LET(_xlpm.x,TRIM(I642),IF(_xlpm.x="","0.00",IFERROR(VALUE(SUBSTITUTE(SUBSTITUTE(SUBSTITUTE(SUBSTITUTE(SUBSTITUTE(SUBSTITUTE(_xlpm.x,"Â£",""),"â‚¬",""),"$",""),"Rs",""),"£",""),"€","")),"0.00")))</f>
        <v>252.53</v>
      </c>
      <c r="P642" s="4" t="str">
        <f t="shared" ref="P642:P705" si="65">_xlfn.LET(_xlpm.x,LOWER(TRIM(J642)),
IF(OR(_xlpm.x="y",_xlpm.x="yes",_xlpm.x="1"),"Yes",
IF(OR(_xlpm.x="n",_xlpm.x="no",_xlpm.x="0"),"No",
IF(_xlpm.x="","Missing","Review"))))</f>
        <v>No</v>
      </c>
      <c r="Q642" s="4" t="str">
        <f>IF(OR(A642="",C642="",L642="Missing",M642="Missing",O642="0.00",K642="Missing"),"Review","OK")</f>
        <v>OK</v>
      </c>
    </row>
    <row r="643" spans="1:17" x14ac:dyDescent="0.3">
      <c r="A643">
        <v>1094</v>
      </c>
      <c r="B643" t="s">
        <v>2059</v>
      </c>
      <c r="C643">
        <v>60</v>
      </c>
      <c r="D643">
        <v>1</v>
      </c>
      <c r="E643" s="3">
        <v>45888</v>
      </c>
      <c r="F643" s="3">
        <v>45680</v>
      </c>
      <c r="G643" t="s">
        <v>2060</v>
      </c>
      <c r="H643" t="s">
        <v>25</v>
      </c>
      <c r="I643" t="s">
        <v>2061</v>
      </c>
      <c r="J643" t="s">
        <v>21</v>
      </c>
      <c r="K643" t="str">
        <f t="shared" si="60"/>
        <v>Crystal Oneal</v>
      </c>
      <c r="L643" t="str">
        <f t="shared" si="61"/>
        <v>Female</v>
      </c>
      <c r="M643" t="str">
        <f t="shared" si="62"/>
        <v>Harold Gray</v>
      </c>
      <c r="N643" s="4" t="str">
        <f t="shared" si="63"/>
        <v>Neurology</v>
      </c>
      <c r="O643" s="6">
        <f t="shared" si="64"/>
        <v>421.74</v>
      </c>
      <c r="P643" s="4" t="str">
        <f t="shared" si="65"/>
        <v>Yes</v>
      </c>
      <c r="Q643" s="4" t="str">
        <f>IF(OR(A643="",C643="",L643="Missing",M643="Missing",O643="0.00",K643="Missing"),"Review","OK")</f>
        <v>OK</v>
      </c>
    </row>
    <row r="644" spans="1:17" x14ac:dyDescent="0.3">
      <c r="A644">
        <v>1022</v>
      </c>
      <c r="B644" t="s">
        <v>2062</v>
      </c>
      <c r="C644">
        <v>83</v>
      </c>
      <c r="D644" t="s">
        <v>76</v>
      </c>
      <c r="E644" s="3">
        <v>45915</v>
      </c>
      <c r="F644" s="3" t="s">
        <v>2063</v>
      </c>
      <c r="G644" t="s">
        <v>2064</v>
      </c>
      <c r="H644" t="s">
        <v>19</v>
      </c>
      <c r="I644" t="s">
        <v>2065</v>
      </c>
      <c r="J644" t="s">
        <v>31</v>
      </c>
      <c r="K644" t="str">
        <f t="shared" si="60"/>
        <v>Alison Robinson</v>
      </c>
      <c r="L644" t="str">
        <f t="shared" si="61"/>
        <v>Male</v>
      </c>
      <c r="M644" t="str">
        <f t="shared" si="62"/>
        <v>Jose Thomas</v>
      </c>
      <c r="N644" s="4" t="str">
        <f t="shared" si="63"/>
        <v>Orthopedics</v>
      </c>
      <c r="O644" s="6">
        <f t="shared" si="64"/>
        <v>175.6</v>
      </c>
      <c r="P644" s="4" t="str">
        <f t="shared" si="65"/>
        <v>No</v>
      </c>
      <c r="Q644" s="4" t="str">
        <f>IF(OR(A644="",C644="",L644="Missing",M644="Missing",O644="0.00",K644="Missing"),"Review","OK")</f>
        <v>OK</v>
      </c>
    </row>
    <row r="645" spans="1:17" x14ac:dyDescent="0.3">
      <c r="A645">
        <v>1056</v>
      </c>
      <c r="B645" t="s">
        <v>2066</v>
      </c>
      <c r="C645">
        <v>82</v>
      </c>
      <c r="D645" t="s">
        <v>23</v>
      </c>
      <c r="E645" s="3">
        <v>46026</v>
      </c>
      <c r="F645" s="3">
        <v>45763</v>
      </c>
      <c r="G645" t="s">
        <v>2067</v>
      </c>
      <c r="H645" t="s">
        <v>25</v>
      </c>
      <c r="I645" t="s">
        <v>2068</v>
      </c>
      <c r="J645">
        <v>0</v>
      </c>
      <c r="K645" t="str">
        <f t="shared" si="60"/>
        <v>Justin White</v>
      </c>
      <c r="L645" t="str">
        <f t="shared" si="61"/>
        <v>Male</v>
      </c>
      <c r="M645" t="str">
        <f t="shared" si="62"/>
        <v>Jose Jackson</v>
      </c>
      <c r="N645" s="4" t="str">
        <f t="shared" si="63"/>
        <v>Neurology</v>
      </c>
      <c r="O645" s="6">
        <f t="shared" si="64"/>
        <v>203.05</v>
      </c>
      <c r="P645" s="4" t="str">
        <f t="shared" si="65"/>
        <v>No</v>
      </c>
      <c r="Q645" s="4" t="str">
        <f>IF(OR(A645="",C645="",L645="Missing",M645="Missing",O645="0.00",K645="Missing"),"Review","OK")</f>
        <v>OK</v>
      </c>
    </row>
    <row r="646" spans="1:17" x14ac:dyDescent="0.3">
      <c r="A646">
        <v>1066</v>
      </c>
      <c r="B646" t="s">
        <v>2069</v>
      </c>
      <c r="C646">
        <v>76</v>
      </c>
      <c r="D646" t="s">
        <v>56</v>
      </c>
      <c r="E646" s="3">
        <v>45961</v>
      </c>
      <c r="F646" s="3">
        <v>45470</v>
      </c>
      <c r="G646" t="s">
        <v>2070</v>
      </c>
      <c r="H646" t="s">
        <v>29</v>
      </c>
      <c r="I646" t="s">
        <v>2071</v>
      </c>
      <c r="J646">
        <v>1</v>
      </c>
      <c r="K646" t="str">
        <f t="shared" si="60"/>
        <v>Linda Ryan</v>
      </c>
      <c r="L646" t="str">
        <f t="shared" si="61"/>
        <v>Male</v>
      </c>
      <c r="M646" t="str">
        <f t="shared" si="62"/>
        <v>Sandra Johns</v>
      </c>
      <c r="N646" s="4" t="str">
        <f t="shared" si="63"/>
        <v>General</v>
      </c>
      <c r="O646" s="6">
        <f t="shared" si="64"/>
        <v>123.13</v>
      </c>
      <c r="P646" s="4" t="str">
        <f t="shared" si="65"/>
        <v>Yes</v>
      </c>
      <c r="Q646" s="4" t="str">
        <f>IF(OR(A646="",C646="",L646="Missing",M646="Missing",O646="0.00",K646="Missing"),"Review","OK")</f>
        <v>OK</v>
      </c>
    </row>
    <row r="647" spans="1:17" x14ac:dyDescent="0.3">
      <c r="A647">
        <v>1088</v>
      </c>
      <c r="B647" t="s">
        <v>2072</v>
      </c>
      <c r="C647">
        <v>79</v>
      </c>
      <c r="D647">
        <v>0</v>
      </c>
      <c r="E647" s="3">
        <v>45982</v>
      </c>
      <c r="F647" s="3">
        <v>45911</v>
      </c>
      <c r="G647" t="s">
        <v>2073</v>
      </c>
      <c r="H647" t="s">
        <v>19</v>
      </c>
      <c r="I647" t="s">
        <v>2074</v>
      </c>
      <c r="J647" t="s">
        <v>31</v>
      </c>
      <c r="K647" t="str">
        <f t="shared" si="60"/>
        <v>Meghan Evans</v>
      </c>
      <c r="L647" t="str">
        <f t="shared" si="61"/>
        <v>Male</v>
      </c>
      <c r="M647" t="str">
        <f t="shared" si="62"/>
        <v>Courtney Yang</v>
      </c>
      <c r="N647" s="4" t="str">
        <f t="shared" si="63"/>
        <v>Orthopedics</v>
      </c>
      <c r="O647" s="6">
        <f t="shared" si="64"/>
        <v>337.15</v>
      </c>
      <c r="P647" s="4" t="str">
        <f t="shared" si="65"/>
        <v>No</v>
      </c>
      <c r="Q647" s="4" t="str">
        <f>IF(OR(A647="",C647="",L647="Missing",M647="Missing",O647="0.00",K647="Missing"),"Review","OK")</f>
        <v>OK</v>
      </c>
    </row>
    <row r="648" spans="1:17" x14ac:dyDescent="0.3">
      <c r="A648">
        <v>1001</v>
      </c>
      <c r="B648" t="s">
        <v>2075</v>
      </c>
      <c r="C648">
        <v>27</v>
      </c>
      <c r="D648" t="s">
        <v>11</v>
      </c>
      <c r="E648" s="3" t="s">
        <v>2076</v>
      </c>
      <c r="F648" s="3" t="s">
        <v>17</v>
      </c>
      <c r="G648" t="s">
        <v>2077</v>
      </c>
      <c r="H648" t="s">
        <v>25</v>
      </c>
      <c r="I648" t="s">
        <v>2078</v>
      </c>
      <c r="J648">
        <v>0</v>
      </c>
      <c r="K648" t="str">
        <f t="shared" si="60"/>
        <v>Tiffany Stone</v>
      </c>
      <c r="L648" t="str">
        <f t="shared" si="61"/>
        <v>Female</v>
      </c>
      <c r="M648" t="str">
        <f t="shared" si="62"/>
        <v>Henry Kelley</v>
      </c>
      <c r="N648" s="4" t="str">
        <f t="shared" si="63"/>
        <v>Neurology</v>
      </c>
      <c r="O648" s="6">
        <f t="shared" si="64"/>
        <v>180.76</v>
      </c>
      <c r="P648" s="4" t="str">
        <f t="shared" si="65"/>
        <v>No</v>
      </c>
      <c r="Q648" s="4" t="str">
        <f>IF(OR(A648="",C648="",L648="Missing",M648="Missing",O648="0.00",K648="Missing"),"Review","OK")</f>
        <v>OK</v>
      </c>
    </row>
    <row r="649" spans="1:17" x14ac:dyDescent="0.3">
      <c r="A649">
        <v>1076</v>
      </c>
      <c r="B649" t="s">
        <v>2079</v>
      </c>
      <c r="C649">
        <v>19</v>
      </c>
      <c r="D649">
        <v>0</v>
      </c>
      <c r="E649" s="3">
        <v>46075</v>
      </c>
      <c r="F649" s="3">
        <v>45820</v>
      </c>
      <c r="G649" t="s">
        <v>2080</v>
      </c>
      <c r="H649" t="s">
        <v>19</v>
      </c>
      <c r="I649" t="s">
        <v>2081</v>
      </c>
      <c r="J649" t="s">
        <v>21</v>
      </c>
      <c r="K649" t="str">
        <f t="shared" si="60"/>
        <v>Melanie Hernandez</v>
      </c>
      <c r="L649" t="str">
        <f t="shared" si="61"/>
        <v>Male</v>
      </c>
      <c r="M649" t="str">
        <f t="shared" si="62"/>
        <v>Adam Anderson</v>
      </c>
      <c r="N649" s="4" t="str">
        <f t="shared" si="63"/>
        <v>Orthopedics</v>
      </c>
      <c r="O649" s="6">
        <f t="shared" si="64"/>
        <v>445.97</v>
      </c>
      <c r="P649" s="4" t="str">
        <f t="shared" si="65"/>
        <v>Yes</v>
      </c>
      <c r="Q649" s="4" t="str">
        <f>IF(OR(A649="",C649="",L649="Missing",M649="Missing",O649="0.00",K649="Missing"),"Review","OK")</f>
        <v>OK</v>
      </c>
    </row>
    <row r="650" spans="1:17" x14ac:dyDescent="0.3">
      <c r="A650">
        <v>1019</v>
      </c>
      <c r="B650" t="s">
        <v>2082</v>
      </c>
      <c r="C650">
        <v>41</v>
      </c>
      <c r="D650" t="s">
        <v>56</v>
      </c>
      <c r="E650" s="3">
        <v>45961</v>
      </c>
      <c r="F650" s="3">
        <v>45572</v>
      </c>
      <c r="G650" t="s">
        <v>2083</v>
      </c>
      <c r="H650" t="s">
        <v>25</v>
      </c>
      <c r="I650" t="s">
        <v>2084</v>
      </c>
      <c r="J650">
        <v>0</v>
      </c>
      <c r="K650" t="str">
        <f t="shared" si="60"/>
        <v>Gabriel Yang</v>
      </c>
      <c r="L650" t="str">
        <f t="shared" si="61"/>
        <v>Male</v>
      </c>
      <c r="M650" t="str">
        <f t="shared" si="62"/>
        <v>Justin Thomas</v>
      </c>
      <c r="N650" s="4" t="str">
        <f t="shared" si="63"/>
        <v>Neurology</v>
      </c>
      <c r="O650" s="6">
        <f t="shared" si="64"/>
        <v>236.58</v>
      </c>
      <c r="P650" s="4" t="str">
        <f t="shared" si="65"/>
        <v>No</v>
      </c>
      <c r="Q650" s="4" t="str">
        <f>IF(OR(A650="",C650="",L650="Missing",M650="Missing",O650="0.00",K650="Missing"),"Review","OK")</f>
        <v>OK</v>
      </c>
    </row>
    <row r="651" spans="1:17" x14ac:dyDescent="0.3">
      <c r="A651">
        <v>1005</v>
      </c>
      <c r="B651" t="s">
        <v>2085</v>
      </c>
      <c r="C651">
        <v>55</v>
      </c>
      <c r="D651" t="s">
        <v>16</v>
      </c>
      <c r="E651" s="3">
        <v>45876</v>
      </c>
      <c r="F651" s="3">
        <v>45447</v>
      </c>
      <c r="G651" t="s">
        <v>2086</v>
      </c>
      <c r="H651" t="s">
        <v>13</v>
      </c>
      <c r="I651" t="s">
        <v>2087</v>
      </c>
      <c r="J651">
        <v>0</v>
      </c>
      <c r="K651" t="str">
        <f t="shared" si="60"/>
        <v>Nicole Garcia</v>
      </c>
      <c r="L651" t="str">
        <f t="shared" si="61"/>
        <v>Female</v>
      </c>
      <c r="M651" t="str">
        <f t="shared" si="62"/>
        <v>Guy Vaughn</v>
      </c>
      <c r="N651" s="4" t="str">
        <f t="shared" si="63"/>
        <v>Cardiology</v>
      </c>
      <c r="O651" s="6">
        <f t="shared" si="64"/>
        <v>125.33</v>
      </c>
      <c r="P651" s="4" t="str">
        <f t="shared" si="65"/>
        <v>No</v>
      </c>
      <c r="Q651" s="4" t="str">
        <f>IF(OR(A651="",C651="",L651="Missing",M651="Missing",O651="0.00",K651="Missing"),"Review","OK")</f>
        <v>OK</v>
      </c>
    </row>
    <row r="652" spans="1:17" x14ac:dyDescent="0.3">
      <c r="A652">
        <v>1030</v>
      </c>
      <c r="B652" t="s">
        <v>2088</v>
      </c>
      <c r="C652">
        <v>59</v>
      </c>
      <c r="D652" t="s">
        <v>76</v>
      </c>
      <c r="E652" s="3">
        <v>45991</v>
      </c>
      <c r="F652" s="3">
        <v>45870</v>
      </c>
      <c r="G652" t="s">
        <v>2089</v>
      </c>
      <c r="H652" t="s">
        <v>19</v>
      </c>
      <c r="I652" t="s">
        <v>2090</v>
      </c>
      <c r="J652">
        <v>1</v>
      </c>
      <c r="K652" t="str">
        <f t="shared" si="60"/>
        <v>Jenny Martin</v>
      </c>
      <c r="L652" t="str">
        <f t="shared" si="61"/>
        <v>Male</v>
      </c>
      <c r="M652" t="str">
        <f t="shared" si="62"/>
        <v>Andrew Terry</v>
      </c>
      <c r="N652" s="4" t="str">
        <f t="shared" si="63"/>
        <v>Orthopedics</v>
      </c>
      <c r="O652" s="6">
        <f t="shared" si="64"/>
        <v>394.58</v>
      </c>
      <c r="P652" s="4" t="str">
        <f t="shared" si="65"/>
        <v>Yes</v>
      </c>
      <c r="Q652" s="4" t="str">
        <f>IF(OR(A652="",C652="",L652="Missing",M652="Missing",O652="0.00",K652="Missing"),"Review","OK")</f>
        <v>OK</v>
      </c>
    </row>
    <row r="653" spans="1:17" x14ac:dyDescent="0.3">
      <c r="A653">
        <v>1088</v>
      </c>
      <c r="B653" t="s">
        <v>2091</v>
      </c>
      <c r="C653">
        <v>55</v>
      </c>
      <c r="D653" t="s">
        <v>16</v>
      </c>
      <c r="E653" s="3" t="s">
        <v>2092</v>
      </c>
      <c r="F653" s="3">
        <v>45544</v>
      </c>
      <c r="G653" t="s">
        <v>2093</v>
      </c>
      <c r="H653" t="s">
        <v>19</v>
      </c>
      <c r="I653" t="s">
        <v>2094</v>
      </c>
      <c r="J653">
        <v>0</v>
      </c>
      <c r="K653" t="str">
        <f t="shared" si="60"/>
        <v>Audrey Irwin</v>
      </c>
      <c r="L653" t="str">
        <f t="shared" si="61"/>
        <v>Female</v>
      </c>
      <c r="M653" t="str">
        <f t="shared" si="62"/>
        <v>Michael Murphy</v>
      </c>
      <c r="N653" s="4" t="str">
        <f t="shared" si="63"/>
        <v>Orthopedics</v>
      </c>
      <c r="O653" s="6">
        <f t="shared" si="64"/>
        <v>96.12</v>
      </c>
      <c r="P653" s="4" t="str">
        <f t="shared" si="65"/>
        <v>No</v>
      </c>
      <c r="Q653" s="4" t="str">
        <f>IF(OR(A653="",C653="",L653="Missing",M653="Missing",O653="0.00",K653="Missing"),"Review","OK")</f>
        <v>OK</v>
      </c>
    </row>
    <row r="654" spans="1:17" x14ac:dyDescent="0.3">
      <c r="A654">
        <v>1018</v>
      </c>
      <c r="B654" t="s">
        <v>2095</v>
      </c>
      <c r="C654">
        <v>68</v>
      </c>
      <c r="D654" t="s">
        <v>76</v>
      </c>
      <c r="E654" s="3">
        <v>45769</v>
      </c>
      <c r="F654" s="3">
        <v>45750</v>
      </c>
      <c r="G654" t="s">
        <v>2096</v>
      </c>
      <c r="H654" t="s">
        <v>25</v>
      </c>
      <c r="I654" t="s">
        <v>2097</v>
      </c>
      <c r="J654">
        <v>0</v>
      </c>
      <c r="K654" t="str">
        <f t="shared" si="60"/>
        <v>Bryan Armstrong</v>
      </c>
      <c r="L654" t="str">
        <f t="shared" si="61"/>
        <v>Male</v>
      </c>
      <c r="M654" t="str">
        <f t="shared" si="62"/>
        <v>Robert Escobar</v>
      </c>
      <c r="N654" s="4" t="str">
        <f t="shared" si="63"/>
        <v>Neurology</v>
      </c>
      <c r="O654" s="6">
        <f t="shared" si="64"/>
        <v>305.01</v>
      </c>
      <c r="P654" s="4" t="str">
        <f t="shared" si="65"/>
        <v>No</v>
      </c>
      <c r="Q654" s="4" t="str">
        <f>IF(OR(A654="",C654="",L654="Missing",M654="Missing",O654="0.00",K654="Missing"),"Review","OK")</f>
        <v>OK</v>
      </c>
    </row>
    <row r="655" spans="1:17" x14ac:dyDescent="0.3">
      <c r="A655">
        <v>1092</v>
      </c>
      <c r="B655" t="s">
        <v>2098</v>
      </c>
      <c r="C655">
        <v>68</v>
      </c>
      <c r="D655" t="s">
        <v>11</v>
      </c>
      <c r="E655" s="3" t="s">
        <v>2099</v>
      </c>
      <c r="F655" s="3">
        <v>45589</v>
      </c>
      <c r="G655" t="s">
        <v>2100</v>
      </c>
      <c r="H655" t="s">
        <v>13</v>
      </c>
      <c r="I655" t="s">
        <v>2101</v>
      </c>
      <c r="J655" t="s">
        <v>65</v>
      </c>
      <c r="K655" t="str">
        <f t="shared" si="60"/>
        <v>Lisa Hill</v>
      </c>
      <c r="L655" t="str">
        <f t="shared" si="61"/>
        <v>Female</v>
      </c>
      <c r="M655" t="str">
        <f t="shared" si="62"/>
        <v>Mia Boyd</v>
      </c>
      <c r="N655" s="4" t="str">
        <f t="shared" si="63"/>
        <v>Cardiology</v>
      </c>
      <c r="O655" s="6">
        <f t="shared" si="64"/>
        <v>169.01</v>
      </c>
      <c r="P655" s="4" t="str">
        <f t="shared" si="65"/>
        <v>No</v>
      </c>
      <c r="Q655" s="4" t="str">
        <f>IF(OR(A655="",C655="",L655="Missing",M655="Missing",O655="0.00",K655="Missing"),"Review","OK")</f>
        <v>OK</v>
      </c>
    </row>
    <row r="656" spans="1:17" x14ac:dyDescent="0.3">
      <c r="A656">
        <v>1030</v>
      </c>
      <c r="B656" t="s">
        <v>2102</v>
      </c>
      <c r="C656">
        <v>39</v>
      </c>
      <c r="D656" t="s">
        <v>56</v>
      </c>
      <c r="E656" s="3">
        <v>45979</v>
      </c>
      <c r="F656" s="3">
        <v>45965</v>
      </c>
      <c r="G656" t="s">
        <v>2103</v>
      </c>
      <c r="H656" t="s">
        <v>25</v>
      </c>
      <c r="I656" t="s">
        <v>2104</v>
      </c>
      <c r="J656">
        <v>0</v>
      </c>
      <c r="K656" t="str">
        <f t="shared" si="60"/>
        <v>Susan Delgado</v>
      </c>
      <c r="L656" t="str">
        <f t="shared" si="61"/>
        <v>Male</v>
      </c>
      <c r="M656" t="str">
        <f t="shared" si="62"/>
        <v>Paula Mann</v>
      </c>
      <c r="N656" s="4" t="str">
        <f t="shared" si="63"/>
        <v>Neurology</v>
      </c>
      <c r="O656" s="6">
        <f t="shared" si="64"/>
        <v>304.86</v>
      </c>
      <c r="P656" s="4" t="str">
        <f t="shared" si="65"/>
        <v>No</v>
      </c>
      <c r="Q656" s="4" t="str">
        <f>IF(OR(A656="",C656="",L656="Missing",M656="Missing",O656="0.00",K656="Missing"),"Review","OK")</f>
        <v>OK</v>
      </c>
    </row>
    <row r="657" spans="1:17" x14ac:dyDescent="0.3">
      <c r="A657">
        <v>1089</v>
      </c>
      <c r="B657" t="s">
        <v>2105</v>
      </c>
      <c r="C657">
        <v>63</v>
      </c>
      <c r="D657" t="s">
        <v>23</v>
      </c>
      <c r="E657" s="3">
        <v>45970</v>
      </c>
      <c r="F657" s="3">
        <v>45634</v>
      </c>
      <c r="G657" t="s">
        <v>2106</v>
      </c>
      <c r="H657" t="s">
        <v>25</v>
      </c>
      <c r="I657" t="s">
        <v>2107</v>
      </c>
      <c r="J657">
        <v>1</v>
      </c>
      <c r="K657" t="str">
        <f t="shared" si="60"/>
        <v>Bradley Myers</v>
      </c>
      <c r="L657" t="str">
        <f t="shared" si="61"/>
        <v>Male</v>
      </c>
      <c r="M657" t="str">
        <f t="shared" si="62"/>
        <v>Mark Barrett</v>
      </c>
      <c r="N657" s="4" t="str">
        <f t="shared" si="63"/>
        <v>Neurology</v>
      </c>
      <c r="O657" s="6">
        <f t="shared" si="64"/>
        <v>426.51</v>
      </c>
      <c r="P657" s="4" t="str">
        <f t="shared" si="65"/>
        <v>Yes</v>
      </c>
      <c r="Q657" s="4" t="str">
        <f>IF(OR(A657="",C657="",L657="Missing",M657="Missing",O657="0.00",K657="Missing"),"Review","OK")</f>
        <v>OK</v>
      </c>
    </row>
    <row r="658" spans="1:17" x14ac:dyDescent="0.3">
      <c r="A658">
        <v>1043</v>
      </c>
      <c r="B658" t="s">
        <v>2108</v>
      </c>
      <c r="C658">
        <v>82</v>
      </c>
      <c r="D658">
        <v>0</v>
      </c>
      <c r="E658" s="3">
        <v>45800</v>
      </c>
      <c r="F658" s="3">
        <v>45583</v>
      </c>
      <c r="G658" t="s">
        <v>2109</v>
      </c>
      <c r="H658" t="s">
        <v>13</v>
      </c>
      <c r="I658" t="s">
        <v>2110</v>
      </c>
      <c r="J658" t="s">
        <v>65</v>
      </c>
      <c r="K658" t="str">
        <f t="shared" si="60"/>
        <v>Derek Smith</v>
      </c>
      <c r="L658" t="str">
        <f t="shared" si="61"/>
        <v>Male</v>
      </c>
      <c r="M658" t="str">
        <f t="shared" si="62"/>
        <v>Jeremy Burton</v>
      </c>
      <c r="N658" s="4" t="str">
        <f t="shared" si="63"/>
        <v>Cardiology</v>
      </c>
      <c r="O658" s="6">
        <f t="shared" si="64"/>
        <v>215.76</v>
      </c>
      <c r="P658" s="4" t="str">
        <f t="shared" si="65"/>
        <v>No</v>
      </c>
      <c r="Q658" s="4" t="str">
        <f>IF(OR(A658="",C658="",L658="Missing",M658="Missing",O658="0.00",K658="Missing"),"Review","OK")</f>
        <v>OK</v>
      </c>
    </row>
    <row r="659" spans="1:17" x14ac:dyDescent="0.3">
      <c r="A659">
        <v>1021</v>
      </c>
      <c r="B659" t="s">
        <v>2111</v>
      </c>
      <c r="C659">
        <v>25</v>
      </c>
      <c r="D659" t="s">
        <v>11</v>
      </c>
      <c r="E659" s="3">
        <v>45931</v>
      </c>
      <c r="F659" s="3">
        <v>45300</v>
      </c>
      <c r="G659" t="s">
        <v>2112</v>
      </c>
      <c r="H659" t="s">
        <v>13</v>
      </c>
      <c r="I659" t="s">
        <v>2113</v>
      </c>
      <c r="J659" t="s">
        <v>21</v>
      </c>
      <c r="K659" t="str">
        <f t="shared" si="60"/>
        <v>Taylor Farley</v>
      </c>
      <c r="L659" t="str">
        <f t="shared" si="61"/>
        <v>Female</v>
      </c>
      <c r="M659" t="str">
        <f t="shared" si="62"/>
        <v>Christy Lewis</v>
      </c>
      <c r="N659" s="4" t="str">
        <f t="shared" si="63"/>
        <v>Cardiology</v>
      </c>
      <c r="O659" s="6">
        <f t="shared" si="64"/>
        <v>184.11</v>
      </c>
      <c r="P659" s="4" t="str">
        <f t="shared" si="65"/>
        <v>Yes</v>
      </c>
      <c r="Q659" s="4" t="str">
        <f>IF(OR(A659="",C659="",L659="Missing",M659="Missing",O659="0.00",K659="Missing"),"Review","OK")</f>
        <v>OK</v>
      </c>
    </row>
    <row r="660" spans="1:17" x14ac:dyDescent="0.3">
      <c r="A660">
        <v>1086</v>
      </c>
      <c r="B660" t="s">
        <v>2114</v>
      </c>
      <c r="C660">
        <v>80</v>
      </c>
      <c r="D660">
        <v>0</v>
      </c>
      <c r="E660" s="3">
        <v>45985</v>
      </c>
      <c r="F660" s="3">
        <v>45655</v>
      </c>
      <c r="G660" t="s">
        <v>2115</v>
      </c>
      <c r="H660" t="s">
        <v>13</v>
      </c>
      <c r="I660" t="s">
        <v>2116</v>
      </c>
      <c r="J660">
        <v>1</v>
      </c>
      <c r="K660" t="str">
        <f t="shared" si="60"/>
        <v>Richard Richardson</v>
      </c>
      <c r="L660" t="str">
        <f t="shared" si="61"/>
        <v>Male</v>
      </c>
      <c r="M660" t="str">
        <f t="shared" si="62"/>
        <v>Robin Hebert</v>
      </c>
      <c r="N660" s="4" t="str">
        <f t="shared" si="63"/>
        <v>Cardiology</v>
      </c>
      <c r="O660" s="6">
        <f t="shared" si="64"/>
        <v>226.12</v>
      </c>
      <c r="P660" s="4" t="str">
        <f t="shared" si="65"/>
        <v>Yes</v>
      </c>
      <c r="Q660" s="4" t="str">
        <f>IF(OR(A660="",C660="",L660="Missing",M660="Missing",O660="0.00",K660="Missing"),"Review","OK")</f>
        <v>OK</v>
      </c>
    </row>
    <row r="661" spans="1:17" x14ac:dyDescent="0.3">
      <c r="A661">
        <v>1016</v>
      </c>
      <c r="B661" t="s">
        <v>2117</v>
      </c>
      <c r="C661">
        <v>53</v>
      </c>
      <c r="D661" t="s">
        <v>11</v>
      </c>
      <c r="E661" s="3">
        <v>45806</v>
      </c>
      <c r="F661" s="3">
        <v>45710</v>
      </c>
      <c r="G661" t="s">
        <v>2118</v>
      </c>
      <c r="H661" t="s">
        <v>19</v>
      </c>
      <c r="I661" t="s">
        <v>2119</v>
      </c>
      <c r="J661" t="s">
        <v>39</v>
      </c>
      <c r="K661" t="str">
        <f t="shared" si="60"/>
        <v>Ryan Rodriguez</v>
      </c>
      <c r="L661" t="str">
        <f t="shared" si="61"/>
        <v>Female</v>
      </c>
      <c r="M661" t="str">
        <f t="shared" si="62"/>
        <v>Eric Kennedy</v>
      </c>
      <c r="N661" s="4" t="str">
        <f t="shared" si="63"/>
        <v>Orthopedics</v>
      </c>
      <c r="O661" s="6">
        <f t="shared" si="64"/>
        <v>277.5</v>
      </c>
      <c r="P661" s="4" t="str">
        <f t="shared" si="65"/>
        <v>Yes</v>
      </c>
      <c r="Q661" s="4" t="str">
        <f>IF(OR(A661="",C661="",L661="Missing",M661="Missing",O661="0.00",K661="Missing"),"Review","OK")</f>
        <v>OK</v>
      </c>
    </row>
    <row r="662" spans="1:17" x14ac:dyDescent="0.3">
      <c r="A662">
        <v>1050</v>
      </c>
      <c r="B662" t="s">
        <v>2120</v>
      </c>
      <c r="C662">
        <v>83</v>
      </c>
      <c r="D662" t="s">
        <v>23</v>
      </c>
      <c r="E662" s="3">
        <v>45911</v>
      </c>
      <c r="F662" s="3">
        <v>45538</v>
      </c>
      <c r="G662" t="s">
        <v>2121</v>
      </c>
      <c r="H662" t="s">
        <v>25</v>
      </c>
      <c r="I662" t="s">
        <v>2122</v>
      </c>
      <c r="J662" t="s">
        <v>65</v>
      </c>
      <c r="K662" t="str">
        <f t="shared" si="60"/>
        <v>Jeremy Coleman</v>
      </c>
      <c r="L662" t="str">
        <f t="shared" si="61"/>
        <v>Male</v>
      </c>
      <c r="M662" t="str">
        <f t="shared" si="62"/>
        <v>David Riley</v>
      </c>
      <c r="N662" s="4" t="str">
        <f t="shared" si="63"/>
        <v>Neurology</v>
      </c>
      <c r="O662" s="6">
        <f t="shared" si="64"/>
        <v>63.99</v>
      </c>
      <c r="P662" s="4" t="str">
        <f t="shared" si="65"/>
        <v>No</v>
      </c>
      <c r="Q662" s="4" t="str">
        <f>IF(OR(A662="",C662="",L662="Missing",M662="Missing",O662="0.00",K662="Missing"),"Review","OK")</f>
        <v>OK</v>
      </c>
    </row>
    <row r="663" spans="1:17" x14ac:dyDescent="0.3">
      <c r="A663">
        <v>1079</v>
      </c>
      <c r="B663" t="s">
        <v>2123</v>
      </c>
      <c r="C663">
        <v>85</v>
      </c>
      <c r="D663" t="s">
        <v>41</v>
      </c>
      <c r="E663" s="3">
        <v>46101</v>
      </c>
      <c r="F663" s="3">
        <v>45938</v>
      </c>
      <c r="G663" t="s">
        <v>2124</v>
      </c>
      <c r="H663" t="s">
        <v>19</v>
      </c>
      <c r="I663" t="s">
        <v>2125</v>
      </c>
      <c r="J663" t="s">
        <v>65</v>
      </c>
      <c r="K663" t="str">
        <f t="shared" si="60"/>
        <v>Alexander Williams</v>
      </c>
      <c r="L663" t="str">
        <f t="shared" si="61"/>
        <v>Female</v>
      </c>
      <c r="M663" t="str">
        <f t="shared" si="62"/>
        <v>Erin Chandler</v>
      </c>
      <c r="N663" s="4" t="str">
        <f t="shared" si="63"/>
        <v>Orthopedics</v>
      </c>
      <c r="O663" s="6">
        <f t="shared" si="64"/>
        <v>85.56</v>
      </c>
      <c r="P663" s="4" t="str">
        <f t="shared" si="65"/>
        <v>No</v>
      </c>
      <c r="Q663" s="4" t="str">
        <f>IF(OR(A663="",C663="",L663="Missing",M663="Missing",O663="0.00",K663="Missing"),"Review","OK")</f>
        <v>OK</v>
      </c>
    </row>
    <row r="664" spans="1:17" x14ac:dyDescent="0.3">
      <c r="A664">
        <v>1027</v>
      </c>
      <c r="B664" t="s">
        <v>2126</v>
      </c>
      <c r="C664">
        <v>26</v>
      </c>
      <c r="D664">
        <v>1</v>
      </c>
      <c r="E664" s="3">
        <v>46104</v>
      </c>
      <c r="F664" s="3">
        <v>45668</v>
      </c>
      <c r="G664" t="s">
        <v>2127</v>
      </c>
      <c r="H664" t="s">
        <v>19</v>
      </c>
      <c r="I664" t="s">
        <v>2128</v>
      </c>
      <c r="J664" t="s">
        <v>65</v>
      </c>
      <c r="K664" t="str">
        <f t="shared" si="60"/>
        <v>Steven Richards</v>
      </c>
      <c r="L664" t="str">
        <f t="shared" si="61"/>
        <v>Female</v>
      </c>
      <c r="M664" t="str">
        <f t="shared" si="62"/>
        <v>Zachary Hamilton</v>
      </c>
      <c r="N664" s="4" t="str">
        <f t="shared" si="63"/>
        <v>Orthopedics</v>
      </c>
      <c r="O664" s="6">
        <f t="shared" si="64"/>
        <v>237.1</v>
      </c>
      <c r="P664" s="4" t="str">
        <f t="shared" si="65"/>
        <v>No</v>
      </c>
      <c r="Q664" s="4" t="str">
        <f>IF(OR(A664="",C664="",L664="Missing",M664="Missing",O664="0.00",K664="Missing"),"Review","OK")</f>
        <v>OK</v>
      </c>
    </row>
    <row r="665" spans="1:17" x14ac:dyDescent="0.3">
      <c r="A665">
        <v>1070</v>
      </c>
      <c r="B665" t="s">
        <v>2129</v>
      </c>
      <c r="C665">
        <v>30</v>
      </c>
      <c r="D665" t="s">
        <v>16</v>
      </c>
      <c r="E665" s="3">
        <v>45992</v>
      </c>
      <c r="F665" s="3">
        <v>45489</v>
      </c>
      <c r="G665" t="s">
        <v>2130</v>
      </c>
      <c r="H665" t="s">
        <v>19</v>
      </c>
      <c r="I665" t="s">
        <v>2131</v>
      </c>
      <c r="J665" t="s">
        <v>31</v>
      </c>
      <c r="K665" t="str">
        <f t="shared" si="60"/>
        <v>Toni Morris Dds</v>
      </c>
      <c r="L665" t="str">
        <f t="shared" si="61"/>
        <v>Female</v>
      </c>
      <c r="M665" t="str">
        <f t="shared" si="62"/>
        <v>Robin Medina</v>
      </c>
      <c r="N665" s="4" t="str">
        <f t="shared" si="63"/>
        <v>Orthopedics</v>
      </c>
      <c r="O665" s="6">
        <f t="shared" si="64"/>
        <v>250.69</v>
      </c>
      <c r="P665" s="4" t="str">
        <f t="shared" si="65"/>
        <v>No</v>
      </c>
      <c r="Q665" s="4" t="str">
        <f>IF(OR(A665="",C665="",L665="Missing",M665="Missing",O665="0.00",K665="Missing"),"Review","OK")</f>
        <v>OK</v>
      </c>
    </row>
    <row r="666" spans="1:17" x14ac:dyDescent="0.3">
      <c r="A666">
        <v>1013</v>
      </c>
      <c r="B666" t="s">
        <v>2132</v>
      </c>
      <c r="C666">
        <v>21</v>
      </c>
      <c r="D666" t="s">
        <v>41</v>
      </c>
      <c r="E666" s="3">
        <v>46077</v>
      </c>
      <c r="F666" s="3">
        <v>45812</v>
      </c>
      <c r="G666" t="s">
        <v>2133</v>
      </c>
      <c r="H666" t="s">
        <v>25</v>
      </c>
      <c r="J666" t="s">
        <v>39</v>
      </c>
      <c r="K666" t="str">
        <f t="shared" si="60"/>
        <v>Zachary Allen</v>
      </c>
      <c r="L666" t="str">
        <f t="shared" si="61"/>
        <v>Female</v>
      </c>
      <c r="M666" t="str">
        <f t="shared" si="62"/>
        <v>Justin Smith</v>
      </c>
      <c r="N666" s="4" t="str">
        <f t="shared" si="63"/>
        <v>Neurology</v>
      </c>
      <c r="O666" s="6" t="str">
        <f t="shared" si="64"/>
        <v>0.00</v>
      </c>
      <c r="P666" s="4" t="str">
        <f t="shared" si="65"/>
        <v>Yes</v>
      </c>
      <c r="Q666" s="4" t="str">
        <f>IF(OR(A666="",C666="",L666="Missing",M666="Missing",O666="0.00",K666="Missing"),"Review","OK")</f>
        <v>Review</v>
      </c>
    </row>
    <row r="667" spans="1:17" x14ac:dyDescent="0.3">
      <c r="A667">
        <v>1027</v>
      </c>
      <c r="B667" t="s">
        <v>2134</v>
      </c>
      <c r="C667">
        <v>27</v>
      </c>
      <c r="D667" t="s">
        <v>11</v>
      </c>
      <c r="E667" s="3">
        <v>45842</v>
      </c>
      <c r="F667" s="3">
        <v>45733</v>
      </c>
      <c r="G667" t="s">
        <v>2135</v>
      </c>
      <c r="H667" t="s">
        <v>19</v>
      </c>
      <c r="I667" t="s">
        <v>2136</v>
      </c>
      <c r="J667">
        <v>1</v>
      </c>
      <c r="K667" t="str">
        <f t="shared" si="60"/>
        <v>Mary Wilson</v>
      </c>
      <c r="L667" t="str">
        <f t="shared" si="61"/>
        <v>Female</v>
      </c>
      <c r="M667" t="str">
        <f t="shared" si="62"/>
        <v>Misty Higgins</v>
      </c>
      <c r="N667" s="4" t="str">
        <f t="shared" si="63"/>
        <v>Orthopedics</v>
      </c>
      <c r="O667" s="6">
        <f t="shared" si="64"/>
        <v>421.57</v>
      </c>
      <c r="P667" s="4" t="str">
        <f t="shared" si="65"/>
        <v>Yes</v>
      </c>
      <c r="Q667" s="4" t="str">
        <f>IF(OR(A667="",C667="",L667="Missing",M667="Missing",O667="0.00",K667="Missing"),"Review","OK")</f>
        <v>OK</v>
      </c>
    </row>
    <row r="668" spans="1:17" x14ac:dyDescent="0.3">
      <c r="A668">
        <v>1087</v>
      </c>
      <c r="B668" t="s">
        <v>2137</v>
      </c>
      <c r="C668">
        <v>28</v>
      </c>
      <c r="D668">
        <v>0</v>
      </c>
      <c r="E668" s="3">
        <v>46104</v>
      </c>
      <c r="F668" s="3">
        <v>45295</v>
      </c>
      <c r="G668" t="s">
        <v>2138</v>
      </c>
      <c r="H668" t="s">
        <v>13</v>
      </c>
      <c r="I668" t="s">
        <v>2139</v>
      </c>
      <c r="J668">
        <v>1</v>
      </c>
      <c r="K668" t="str">
        <f t="shared" si="60"/>
        <v>Nicole Shepard</v>
      </c>
      <c r="L668" t="str">
        <f t="shared" si="61"/>
        <v>Male</v>
      </c>
      <c r="M668" t="str">
        <f t="shared" si="62"/>
        <v>Mr. Ricky Le</v>
      </c>
      <c r="N668" s="4" t="str">
        <f t="shared" si="63"/>
        <v>Cardiology</v>
      </c>
      <c r="O668" s="6">
        <f t="shared" si="64"/>
        <v>77.790000000000006</v>
      </c>
      <c r="P668" s="4" t="str">
        <f t="shared" si="65"/>
        <v>Yes</v>
      </c>
      <c r="Q668" s="4" t="str">
        <f>IF(OR(A668="",C668="",L668="Missing",M668="Missing",O668="0.00",K668="Missing"),"Review","OK")</f>
        <v>OK</v>
      </c>
    </row>
    <row r="669" spans="1:17" x14ac:dyDescent="0.3">
      <c r="A669">
        <v>1081</v>
      </c>
      <c r="B669" t="s">
        <v>2140</v>
      </c>
      <c r="C669">
        <v>32</v>
      </c>
      <c r="D669" t="s">
        <v>16</v>
      </c>
      <c r="E669" s="3">
        <v>45844</v>
      </c>
      <c r="F669" s="3">
        <v>45757</v>
      </c>
      <c r="G669" t="s">
        <v>2141</v>
      </c>
      <c r="H669" t="s">
        <v>25</v>
      </c>
      <c r="I669" t="s">
        <v>2142</v>
      </c>
      <c r="J669" t="s">
        <v>21</v>
      </c>
      <c r="K669" t="str">
        <f t="shared" si="60"/>
        <v>Trevor Anderson</v>
      </c>
      <c r="L669" t="str">
        <f t="shared" si="61"/>
        <v>Female</v>
      </c>
      <c r="M669" t="str">
        <f t="shared" si="62"/>
        <v>Kenneth Johnson</v>
      </c>
      <c r="N669" s="4" t="str">
        <f t="shared" si="63"/>
        <v>Neurology</v>
      </c>
      <c r="O669" s="6">
        <f t="shared" si="64"/>
        <v>156.32</v>
      </c>
      <c r="P669" s="4" t="str">
        <f t="shared" si="65"/>
        <v>Yes</v>
      </c>
      <c r="Q669" s="4" t="str">
        <f>IF(OR(A669="",C669="",L669="Missing",M669="Missing",O669="0.00",K669="Missing"),"Review","OK")</f>
        <v>OK</v>
      </c>
    </row>
    <row r="670" spans="1:17" x14ac:dyDescent="0.3">
      <c r="A670">
        <v>1053</v>
      </c>
      <c r="B670" t="s">
        <v>2143</v>
      </c>
      <c r="C670">
        <v>87</v>
      </c>
      <c r="D670" t="s">
        <v>56</v>
      </c>
      <c r="E670" s="3">
        <v>46060</v>
      </c>
      <c r="F670" s="3">
        <v>45484</v>
      </c>
      <c r="G670" t="s">
        <v>2144</v>
      </c>
      <c r="H670" t="s">
        <v>19</v>
      </c>
      <c r="I670" t="s">
        <v>2145</v>
      </c>
      <c r="J670" t="s">
        <v>21</v>
      </c>
      <c r="K670" t="str">
        <f t="shared" si="60"/>
        <v>Robert Wade</v>
      </c>
      <c r="L670" t="str">
        <f t="shared" si="61"/>
        <v>Male</v>
      </c>
      <c r="M670" t="str">
        <f t="shared" si="62"/>
        <v>Phillip Shelton</v>
      </c>
      <c r="N670" s="4" t="str">
        <f t="shared" si="63"/>
        <v>Orthopedics</v>
      </c>
      <c r="O670" s="6">
        <f t="shared" si="64"/>
        <v>249.74</v>
      </c>
      <c r="P670" s="4" t="str">
        <f t="shared" si="65"/>
        <v>Yes</v>
      </c>
      <c r="Q670" s="4" t="str">
        <f>IF(OR(A670="",C670="",L670="Missing",M670="Missing",O670="0.00",K670="Missing"),"Review","OK")</f>
        <v>OK</v>
      </c>
    </row>
    <row r="671" spans="1:17" x14ac:dyDescent="0.3">
      <c r="A671">
        <v>1051</v>
      </c>
      <c r="B671" t="s">
        <v>2146</v>
      </c>
      <c r="C671">
        <v>72</v>
      </c>
      <c r="D671" t="s">
        <v>41</v>
      </c>
      <c r="E671" s="3">
        <v>46086</v>
      </c>
      <c r="F671" s="3" t="s">
        <v>2147</v>
      </c>
      <c r="G671" t="s">
        <v>2148</v>
      </c>
      <c r="H671" t="s">
        <v>29</v>
      </c>
      <c r="I671" t="s">
        <v>2149</v>
      </c>
      <c r="J671" t="s">
        <v>39</v>
      </c>
      <c r="K671" t="str">
        <f t="shared" si="60"/>
        <v>Oscar Luna</v>
      </c>
      <c r="L671" t="str">
        <f t="shared" si="61"/>
        <v>Female</v>
      </c>
      <c r="M671" t="str">
        <f t="shared" si="62"/>
        <v>John Stewart</v>
      </c>
      <c r="N671" s="4" t="str">
        <f t="shared" si="63"/>
        <v>General</v>
      </c>
      <c r="O671" s="6">
        <f t="shared" si="64"/>
        <v>126.56</v>
      </c>
      <c r="P671" s="4" t="str">
        <f t="shared" si="65"/>
        <v>Yes</v>
      </c>
      <c r="Q671" s="4" t="str">
        <f>IF(OR(A671="",C671="",L671="Missing",M671="Missing",O671="0.00",K671="Missing"),"Review","OK")</f>
        <v>OK</v>
      </c>
    </row>
    <row r="672" spans="1:17" x14ac:dyDescent="0.3">
      <c r="A672">
        <v>1098</v>
      </c>
      <c r="B672" t="s">
        <v>2150</v>
      </c>
      <c r="C672">
        <v>59</v>
      </c>
      <c r="D672">
        <v>1</v>
      </c>
      <c r="E672" s="3">
        <v>45940</v>
      </c>
      <c r="F672" s="3">
        <v>45522</v>
      </c>
      <c r="G672" t="s">
        <v>2151</v>
      </c>
      <c r="H672" t="s">
        <v>29</v>
      </c>
      <c r="I672" t="s">
        <v>2152</v>
      </c>
      <c r="J672" t="s">
        <v>65</v>
      </c>
      <c r="K672" t="str">
        <f t="shared" si="60"/>
        <v>Lance Hobbs</v>
      </c>
      <c r="L672" t="str">
        <f t="shared" si="61"/>
        <v>Female</v>
      </c>
      <c r="M672" t="str">
        <f t="shared" si="62"/>
        <v>Mr. James Brown</v>
      </c>
      <c r="N672" s="4" t="str">
        <f t="shared" si="63"/>
        <v>General</v>
      </c>
      <c r="O672" s="6">
        <f t="shared" si="64"/>
        <v>143.32</v>
      </c>
      <c r="P672" s="4" t="str">
        <f t="shared" si="65"/>
        <v>No</v>
      </c>
      <c r="Q672" s="4" t="str">
        <f>IF(OR(A672="",C672="",L672="Missing",M672="Missing",O672="0.00",K672="Missing"),"Review","OK")</f>
        <v>OK</v>
      </c>
    </row>
    <row r="673" spans="1:17" x14ac:dyDescent="0.3">
      <c r="A673">
        <v>1009</v>
      </c>
      <c r="B673" t="s">
        <v>2153</v>
      </c>
      <c r="C673">
        <v>64</v>
      </c>
      <c r="D673" t="s">
        <v>23</v>
      </c>
      <c r="E673" s="3">
        <v>45869</v>
      </c>
      <c r="F673" s="3">
        <v>45527</v>
      </c>
      <c r="G673" t="s">
        <v>2154</v>
      </c>
      <c r="H673" t="s">
        <v>25</v>
      </c>
      <c r="I673" t="s">
        <v>2155</v>
      </c>
      <c r="J673" t="s">
        <v>21</v>
      </c>
      <c r="K673" t="str">
        <f t="shared" si="60"/>
        <v>Misty Wells</v>
      </c>
      <c r="L673" t="str">
        <f t="shared" si="61"/>
        <v>Male</v>
      </c>
      <c r="M673" t="str">
        <f t="shared" si="62"/>
        <v>Debra Booker</v>
      </c>
      <c r="N673" s="4" t="str">
        <f t="shared" si="63"/>
        <v>Neurology</v>
      </c>
      <c r="O673" s="6">
        <f t="shared" si="64"/>
        <v>353.8</v>
      </c>
      <c r="P673" s="4" t="str">
        <f t="shared" si="65"/>
        <v>Yes</v>
      </c>
      <c r="Q673" s="4" t="str">
        <f>IF(OR(A673="",C673="",L673="Missing",M673="Missing",O673="0.00",K673="Missing"),"Review","OK")</f>
        <v>OK</v>
      </c>
    </row>
    <row r="674" spans="1:17" x14ac:dyDescent="0.3">
      <c r="A674">
        <v>1021</v>
      </c>
      <c r="B674" t="s">
        <v>2156</v>
      </c>
      <c r="C674">
        <v>28</v>
      </c>
      <c r="D674" t="s">
        <v>41</v>
      </c>
      <c r="E674" s="3" t="s">
        <v>2157</v>
      </c>
      <c r="F674" s="3">
        <v>45613</v>
      </c>
      <c r="G674" t="s">
        <v>2158</v>
      </c>
      <c r="H674" t="s">
        <v>13</v>
      </c>
      <c r="I674" t="s">
        <v>2159</v>
      </c>
      <c r="J674" t="s">
        <v>39</v>
      </c>
      <c r="K674" t="str">
        <f t="shared" si="60"/>
        <v>Adam Mcdonald</v>
      </c>
      <c r="L674" t="str">
        <f t="shared" si="61"/>
        <v>Female</v>
      </c>
      <c r="M674" t="str">
        <f t="shared" si="62"/>
        <v>David Schmidt</v>
      </c>
      <c r="N674" s="4" t="str">
        <f t="shared" si="63"/>
        <v>Cardiology</v>
      </c>
      <c r="O674" s="6">
        <f t="shared" si="64"/>
        <v>174.54</v>
      </c>
      <c r="P674" s="4" t="str">
        <f t="shared" si="65"/>
        <v>Yes</v>
      </c>
      <c r="Q674" s="4" t="str">
        <f>IF(OR(A674="",C674="",L674="Missing",M674="Missing",O674="0.00",K674="Missing"),"Review","OK")</f>
        <v>OK</v>
      </c>
    </row>
    <row r="675" spans="1:17" x14ac:dyDescent="0.3">
      <c r="A675">
        <v>1046</v>
      </c>
      <c r="B675" t="s">
        <v>2160</v>
      </c>
      <c r="C675">
        <v>68</v>
      </c>
      <c r="D675" t="s">
        <v>56</v>
      </c>
      <c r="E675" s="3">
        <v>46097</v>
      </c>
      <c r="F675" s="3">
        <v>45418</v>
      </c>
      <c r="G675" t="s">
        <v>2161</v>
      </c>
      <c r="H675" t="s">
        <v>19</v>
      </c>
      <c r="I675" t="s">
        <v>2162</v>
      </c>
      <c r="J675" t="s">
        <v>21</v>
      </c>
      <c r="K675" t="str">
        <f t="shared" si="60"/>
        <v>David Mann</v>
      </c>
      <c r="L675" t="str">
        <f t="shared" si="61"/>
        <v>Male</v>
      </c>
      <c r="M675" t="str">
        <f t="shared" si="62"/>
        <v>Donald Ferguson</v>
      </c>
      <c r="N675" s="4" t="str">
        <f t="shared" si="63"/>
        <v>Orthopedics</v>
      </c>
      <c r="O675" s="6">
        <f t="shared" si="64"/>
        <v>217.77</v>
      </c>
      <c r="P675" s="4" t="str">
        <f t="shared" si="65"/>
        <v>Yes</v>
      </c>
      <c r="Q675" s="4" t="str">
        <f>IF(OR(A675="",C675="",L675="Missing",M675="Missing",O675="0.00",K675="Missing"),"Review","OK")</f>
        <v>OK</v>
      </c>
    </row>
    <row r="676" spans="1:17" x14ac:dyDescent="0.3">
      <c r="A676">
        <v>1044</v>
      </c>
      <c r="B676" t="s">
        <v>2163</v>
      </c>
      <c r="C676">
        <v>67</v>
      </c>
      <c r="D676" t="s">
        <v>56</v>
      </c>
      <c r="E676" s="3">
        <v>45995</v>
      </c>
      <c r="F676" s="3" t="s">
        <v>2164</v>
      </c>
      <c r="G676" t="s">
        <v>2165</v>
      </c>
      <c r="H676" t="s">
        <v>25</v>
      </c>
      <c r="I676" t="s">
        <v>2166</v>
      </c>
      <c r="J676" t="s">
        <v>65</v>
      </c>
      <c r="K676" t="str">
        <f t="shared" si="60"/>
        <v>Daniel White</v>
      </c>
      <c r="L676" t="str">
        <f t="shared" si="61"/>
        <v>Male</v>
      </c>
      <c r="M676" t="str">
        <f t="shared" si="62"/>
        <v>Chad Johnson</v>
      </c>
      <c r="N676" s="4" t="str">
        <f t="shared" si="63"/>
        <v>Neurology</v>
      </c>
      <c r="O676" s="6">
        <f t="shared" si="64"/>
        <v>277.51</v>
      </c>
      <c r="P676" s="4" t="str">
        <f t="shared" si="65"/>
        <v>No</v>
      </c>
      <c r="Q676" s="4" t="str">
        <f>IF(OR(A676="",C676="",L676="Missing",M676="Missing",O676="0.00",K676="Missing"),"Review","OK")</f>
        <v>OK</v>
      </c>
    </row>
    <row r="677" spans="1:17" x14ac:dyDescent="0.3">
      <c r="A677">
        <v>1058</v>
      </c>
      <c r="B677" t="s">
        <v>2167</v>
      </c>
      <c r="C677">
        <v>37</v>
      </c>
      <c r="D677">
        <v>1</v>
      </c>
      <c r="E677" s="3">
        <v>46057</v>
      </c>
      <c r="F677" s="3">
        <v>45971</v>
      </c>
      <c r="G677" t="s">
        <v>2168</v>
      </c>
      <c r="H677" t="s">
        <v>19</v>
      </c>
      <c r="I677" t="s">
        <v>2169</v>
      </c>
      <c r="J677" t="s">
        <v>21</v>
      </c>
      <c r="K677" t="str">
        <f t="shared" si="60"/>
        <v>Steven Gonzalez</v>
      </c>
      <c r="L677" t="str">
        <f t="shared" si="61"/>
        <v>Female</v>
      </c>
      <c r="M677" t="str">
        <f t="shared" si="62"/>
        <v>Jonathan Daniels</v>
      </c>
      <c r="N677" s="4" t="str">
        <f t="shared" si="63"/>
        <v>Orthopedics</v>
      </c>
      <c r="O677" s="6">
        <f t="shared" si="64"/>
        <v>259.19</v>
      </c>
      <c r="P677" s="4" t="str">
        <f t="shared" si="65"/>
        <v>Yes</v>
      </c>
      <c r="Q677" s="4" t="str">
        <f>IF(OR(A677="",C677="",L677="Missing",M677="Missing",O677="0.00",K677="Missing"),"Review","OK")</f>
        <v>OK</v>
      </c>
    </row>
    <row r="678" spans="1:17" x14ac:dyDescent="0.3">
      <c r="A678">
        <v>1004</v>
      </c>
      <c r="B678" t="s">
        <v>2170</v>
      </c>
      <c r="C678">
        <v>53</v>
      </c>
      <c r="E678" s="3">
        <v>45878</v>
      </c>
      <c r="F678" s="3">
        <v>45450</v>
      </c>
      <c r="G678" t="s">
        <v>2171</v>
      </c>
      <c r="H678" t="s">
        <v>25</v>
      </c>
      <c r="I678" t="s">
        <v>2172</v>
      </c>
      <c r="J678" t="s">
        <v>39</v>
      </c>
      <c r="K678" t="str">
        <f t="shared" si="60"/>
        <v>Samuel Harrison</v>
      </c>
      <c r="L678" t="str">
        <f t="shared" si="61"/>
        <v>Missing</v>
      </c>
      <c r="M678" t="str">
        <f t="shared" si="62"/>
        <v>Hunter Powell</v>
      </c>
      <c r="N678" s="4" t="str">
        <f t="shared" si="63"/>
        <v>Neurology</v>
      </c>
      <c r="O678" s="6">
        <f t="shared" si="64"/>
        <v>492.92</v>
      </c>
      <c r="P678" s="4" t="str">
        <f t="shared" si="65"/>
        <v>Yes</v>
      </c>
      <c r="Q678" s="4" t="str">
        <f>IF(OR(A678="",C678="",L678="Missing",M678="Missing",O678="0.00",K678="Missing"),"Review","OK")</f>
        <v>Review</v>
      </c>
    </row>
    <row r="679" spans="1:17" x14ac:dyDescent="0.3">
      <c r="A679">
        <v>1088</v>
      </c>
      <c r="B679" t="s">
        <v>2173</v>
      </c>
      <c r="C679">
        <v>21</v>
      </c>
      <c r="D679" t="s">
        <v>23</v>
      </c>
      <c r="E679" s="3">
        <v>45973</v>
      </c>
      <c r="F679" s="3">
        <v>45769</v>
      </c>
      <c r="G679" t="s">
        <v>2174</v>
      </c>
      <c r="H679" t="s">
        <v>25</v>
      </c>
      <c r="I679" t="s">
        <v>2175</v>
      </c>
      <c r="J679">
        <v>0</v>
      </c>
      <c r="K679" t="str">
        <f t="shared" si="60"/>
        <v>Bethany Williams</v>
      </c>
      <c r="L679" t="str">
        <f t="shared" si="61"/>
        <v>Male</v>
      </c>
      <c r="M679" t="str">
        <f t="shared" si="62"/>
        <v>Kayla Woods</v>
      </c>
      <c r="N679" s="4" t="str">
        <f t="shared" si="63"/>
        <v>Neurology</v>
      </c>
      <c r="O679" s="6">
        <f t="shared" si="64"/>
        <v>51.38</v>
      </c>
      <c r="P679" s="4" t="str">
        <f t="shared" si="65"/>
        <v>No</v>
      </c>
      <c r="Q679" s="4" t="str">
        <f>IF(OR(A679="",C679="",L679="Missing",M679="Missing",O679="0.00",K679="Missing"),"Review","OK")</f>
        <v>OK</v>
      </c>
    </row>
    <row r="680" spans="1:17" x14ac:dyDescent="0.3">
      <c r="A680">
        <v>1035</v>
      </c>
      <c r="B680" t="s">
        <v>2176</v>
      </c>
      <c r="C680">
        <v>53</v>
      </c>
      <c r="D680" t="s">
        <v>23</v>
      </c>
      <c r="E680" s="3">
        <v>46048</v>
      </c>
      <c r="F680" s="3" t="s">
        <v>2177</v>
      </c>
      <c r="G680" t="s">
        <v>2178</v>
      </c>
      <c r="H680" t="s">
        <v>25</v>
      </c>
      <c r="I680" t="s">
        <v>2179</v>
      </c>
      <c r="J680">
        <v>1</v>
      </c>
      <c r="K680" t="str">
        <f t="shared" si="60"/>
        <v>Eddie Tate</v>
      </c>
      <c r="L680" t="str">
        <f t="shared" si="61"/>
        <v>Male</v>
      </c>
      <c r="M680" t="str">
        <f t="shared" si="62"/>
        <v>Paul Johnson</v>
      </c>
      <c r="N680" s="4" t="str">
        <f t="shared" si="63"/>
        <v>Neurology</v>
      </c>
      <c r="O680" s="6">
        <f t="shared" si="64"/>
        <v>374.03</v>
      </c>
      <c r="P680" s="4" t="str">
        <f t="shared" si="65"/>
        <v>Yes</v>
      </c>
      <c r="Q680" s="4" t="str">
        <f>IF(OR(A680="",C680="",L680="Missing",M680="Missing",O680="0.00",K680="Missing"),"Review","OK")</f>
        <v>OK</v>
      </c>
    </row>
    <row r="681" spans="1:17" x14ac:dyDescent="0.3">
      <c r="A681">
        <v>1025</v>
      </c>
      <c r="B681" t="s">
        <v>2180</v>
      </c>
      <c r="C681">
        <v>69</v>
      </c>
      <c r="D681" t="s">
        <v>76</v>
      </c>
      <c r="E681" s="3">
        <v>45753</v>
      </c>
      <c r="F681" s="3">
        <v>45501</v>
      </c>
      <c r="G681" t="s">
        <v>2181</v>
      </c>
      <c r="H681" t="s">
        <v>19</v>
      </c>
      <c r="I681" t="s">
        <v>2182</v>
      </c>
      <c r="J681">
        <v>0</v>
      </c>
      <c r="K681" t="str">
        <f t="shared" si="60"/>
        <v>Christopher Trujillo</v>
      </c>
      <c r="L681" t="str">
        <f t="shared" si="61"/>
        <v>Male</v>
      </c>
      <c r="M681" t="str">
        <f t="shared" si="62"/>
        <v>Keith Smith</v>
      </c>
      <c r="N681" s="4" t="str">
        <f t="shared" si="63"/>
        <v>Orthopedics</v>
      </c>
      <c r="O681" s="6">
        <f t="shared" si="64"/>
        <v>175.33</v>
      </c>
      <c r="P681" s="4" t="str">
        <f t="shared" si="65"/>
        <v>No</v>
      </c>
      <c r="Q681" s="4" t="str">
        <f>IF(OR(A681="",C681="",L681="Missing",M681="Missing",O681="0.00",K681="Missing"),"Review","OK")</f>
        <v>OK</v>
      </c>
    </row>
    <row r="682" spans="1:17" x14ac:dyDescent="0.3">
      <c r="A682">
        <v>1068</v>
      </c>
      <c r="B682" t="s">
        <v>2183</v>
      </c>
      <c r="C682">
        <v>25</v>
      </c>
      <c r="D682" t="s">
        <v>16</v>
      </c>
      <c r="E682" s="3">
        <v>46064</v>
      </c>
      <c r="F682" s="3">
        <v>45828</v>
      </c>
      <c r="G682" t="s">
        <v>2184</v>
      </c>
      <c r="H682" t="s">
        <v>25</v>
      </c>
      <c r="I682" t="s">
        <v>2185</v>
      </c>
      <c r="J682">
        <v>0</v>
      </c>
      <c r="K682" t="str">
        <f t="shared" si="60"/>
        <v>Sarah Thompson</v>
      </c>
      <c r="L682" t="str">
        <f t="shared" si="61"/>
        <v>Female</v>
      </c>
      <c r="M682" t="str">
        <f t="shared" si="62"/>
        <v>Ruth Shaw</v>
      </c>
      <c r="N682" s="4" t="str">
        <f t="shared" si="63"/>
        <v>Neurology</v>
      </c>
      <c r="O682" s="6">
        <f t="shared" si="64"/>
        <v>129.25</v>
      </c>
      <c r="P682" s="4" t="str">
        <f t="shared" si="65"/>
        <v>No</v>
      </c>
      <c r="Q682" s="4" t="str">
        <f>IF(OR(A682="",C682="",L682="Missing",M682="Missing",O682="0.00",K682="Missing"),"Review","OK")</f>
        <v>OK</v>
      </c>
    </row>
    <row r="683" spans="1:17" x14ac:dyDescent="0.3">
      <c r="A683">
        <v>1014</v>
      </c>
      <c r="B683" t="s">
        <v>2186</v>
      </c>
      <c r="C683">
        <v>61</v>
      </c>
      <c r="E683" s="3" t="s">
        <v>898</v>
      </c>
      <c r="F683" s="3">
        <v>45648</v>
      </c>
      <c r="G683" t="s">
        <v>2187</v>
      </c>
      <c r="H683" t="s">
        <v>13</v>
      </c>
      <c r="I683" t="s">
        <v>2188</v>
      </c>
      <c r="J683">
        <v>1</v>
      </c>
      <c r="K683" t="str">
        <f t="shared" si="60"/>
        <v>Bradley Jones</v>
      </c>
      <c r="L683" t="str">
        <f t="shared" si="61"/>
        <v>Missing</v>
      </c>
      <c r="M683" t="str">
        <f t="shared" si="62"/>
        <v>Douglas Patton</v>
      </c>
      <c r="N683" s="4" t="str">
        <f t="shared" si="63"/>
        <v>Cardiology</v>
      </c>
      <c r="O683" s="6">
        <f t="shared" si="64"/>
        <v>257.41000000000003</v>
      </c>
      <c r="P683" s="4" t="str">
        <f t="shared" si="65"/>
        <v>Yes</v>
      </c>
      <c r="Q683" s="4" t="str">
        <f>IF(OR(A683="",C683="",L683="Missing",M683="Missing",O683="0.00",K683="Missing"),"Review","OK")</f>
        <v>Review</v>
      </c>
    </row>
    <row r="684" spans="1:17" x14ac:dyDescent="0.3">
      <c r="A684">
        <v>1059</v>
      </c>
      <c r="B684" t="s">
        <v>2189</v>
      </c>
      <c r="C684">
        <v>23</v>
      </c>
      <c r="D684" t="s">
        <v>76</v>
      </c>
      <c r="E684" s="3">
        <v>45910</v>
      </c>
      <c r="F684" s="3" t="s">
        <v>1002</v>
      </c>
      <c r="G684" t="s">
        <v>2190</v>
      </c>
      <c r="H684" t="s">
        <v>29</v>
      </c>
      <c r="I684" t="s">
        <v>2191</v>
      </c>
      <c r="J684" t="s">
        <v>21</v>
      </c>
      <c r="K684" t="str">
        <f t="shared" si="60"/>
        <v>Emma Ferrell</v>
      </c>
      <c r="L684" t="str">
        <f t="shared" si="61"/>
        <v>Male</v>
      </c>
      <c r="M684" t="str">
        <f t="shared" si="62"/>
        <v>David Bradford</v>
      </c>
      <c r="N684" s="4" t="str">
        <f t="shared" si="63"/>
        <v>General</v>
      </c>
      <c r="O684" s="6">
        <f t="shared" si="64"/>
        <v>337.48</v>
      </c>
      <c r="P684" s="4" t="str">
        <f t="shared" si="65"/>
        <v>Yes</v>
      </c>
      <c r="Q684" s="4" t="str">
        <f>IF(OR(A684="",C684="",L684="Missing",M684="Missing",O684="0.00",K684="Missing"),"Review","OK")</f>
        <v>OK</v>
      </c>
    </row>
    <row r="685" spans="1:17" x14ac:dyDescent="0.3">
      <c r="A685">
        <v>1021</v>
      </c>
      <c r="B685" t="s">
        <v>2192</v>
      </c>
      <c r="C685">
        <v>61</v>
      </c>
      <c r="D685" t="s">
        <v>16</v>
      </c>
      <c r="E685" s="3">
        <v>46085</v>
      </c>
      <c r="F685" s="3">
        <v>45879</v>
      </c>
      <c r="G685" t="s">
        <v>2193</v>
      </c>
      <c r="H685" t="s">
        <v>25</v>
      </c>
      <c r="I685" t="s">
        <v>2194</v>
      </c>
      <c r="J685" t="s">
        <v>39</v>
      </c>
      <c r="K685" t="str">
        <f t="shared" si="60"/>
        <v>Michael Garcia</v>
      </c>
      <c r="L685" t="str">
        <f t="shared" si="61"/>
        <v>Female</v>
      </c>
      <c r="M685" t="str">
        <f t="shared" si="62"/>
        <v>Barbara Mack</v>
      </c>
      <c r="N685" s="4" t="str">
        <f t="shared" si="63"/>
        <v>Neurology</v>
      </c>
      <c r="O685" s="6">
        <f t="shared" si="64"/>
        <v>310.14999999999998</v>
      </c>
      <c r="P685" s="4" t="str">
        <f t="shared" si="65"/>
        <v>Yes</v>
      </c>
      <c r="Q685" s="4" t="str">
        <f>IF(OR(A685="",C685="",L685="Missing",M685="Missing",O685="0.00",K685="Missing"),"Review","OK")</f>
        <v>OK</v>
      </c>
    </row>
    <row r="686" spans="1:17" x14ac:dyDescent="0.3">
      <c r="A686">
        <v>1029</v>
      </c>
      <c r="B686" t="s">
        <v>2195</v>
      </c>
      <c r="C686">
        <v>69</v>
      </c>
      <c r="D686" t="s">
        <v>56</v>
      </c>
      <c r="E686" s="3">
        <v>45804</v>
      </c>
      <c r="F686" s="3">
        <v>45767</v>
      </c>
      <c r="G686" t="s">
        <v>2196</v>
      </c>
      <c r="H686" t="s">
        <v>19</v>
      </c>
      <c r="I686" t="s">
        <v>2197</v>
      </c>
      <c r="J686" t="s">
        <v>65</v>
      </c>
      <c r="K686" t="str">
        <f t="shared" si="60"/>
        <v>Darlene Hodge</v>
      </c>
      <c r="L686" t="str">
        <f t="shared" si="61"/>
        <v>Male</v>
      </c>
      <c r="M686" t="str">
        <f t="shared" si="62"/>
        <v>Amanda Cruz</v>
      </c>
      <c r="N686" s="4" t="str">
        <f t="shared" si="63"/>
        <v>Orthopedics</v>
      </c>
      <c r="O686" s="6">
        <f t="shared" si="64"/>
        <v>63.14</v>
      </c>
      <c r="P686" s="4" t="str">
        <f t="shared" si="65"/>
        <v>No</v>
      </c>
      <c r="Q686" s="4" t="str">
        <f>IF(OR(A686="",C686="",L686="Missing",M686="Missing",O686="0.00",K686="Missing"),"Review","OK")</f>
        <v>OK</v>
      </c>
    </row>
    <row r="687" spans="1:17" x14ac:dyDescent="0.3">
      <c r="A687">
        <v>1005</v>
      </c>
      <c r="B687" t="s">
        <v>2198</v>
      </c>
      <c r="C687">
        <v>23</v>
      </c>
      <c r="D687">
        <v>0</v>
      </c>
      <c r="E687" s="3" t="s">
        <v>1450</v>
      </c>
      <c r="F687" s="3">
        <v>45662</v>
      </c>
      <c r="G687" t="s">
        <v>2199</v>
      </c>
      <c r="H687" t="s">
        <v>19</v>
      </c>
      <c r="I687" t="s">
        <v>2200</v>
      </c>
      <c r="J687" t="s">
        <v>65</v>
      </c>
      <c r="K687" t="str">
        <f t="shared" si="60"/>
        <v>Katherine Rios</v>
      </c>
      <c r="L687" t="str">
        <f t="shared" si="61"/>
        <v>Male</v>
      </c>
      <c r="M687" t="str">
        <f t="shared" si="62"/>
        <v>Elizabeth Foster</v>
      </c>
      <c r="N687" s="4" t="str">
        <f t="shared" si="63"/>
        <v>Orthopedics</v>
      </c>
      <c r="O687" s="6">
        <f t="shared" si="64"/>
        <v>265.67</v>
      </c>
      <c r="P687" s="4" t="str">
        <f t="shared" si="65"/>
        <v>No</v>
      </c>
      <c r="Q687" s="4" t="str">
        <f>IF(OR(A687="",C687="",L687="Missing",M687="Missing",O687="0.00",K687="Missing"),"Review","OK")</f>
        <v>OK</v>
      </c>
    </row>
    <row r="688" spans="1:17" x14ac:dyDescent="0.3">
      <c r="A688">
        <v>1094</v>
      </c>
      <c r="B688" t="s">
        <v>2201</v>
      </c>
      <c r="C688">
        <v>59</v>
      </c>
      <c r="D688">
        <v>0</v>
      </c>
      <c r="E688" s="3">
        <v>45816</v>
      </c>
      <c r="F688" s="3">
        <v>45652</v>
      </c>
      <c r="G688" t="s">
        <v>2202</v>
      </c>
      <c r="H688" t="s">
        <v>19</v>
      </c>
      <c r="I688" t="s">
        <v>2203</v>
      </c>
      <c r="J688" t="s">
        <v>21</v>
      </c>
      <c r="K688" t="str">
        <f t="shared" si="60"/>
        <v>Jennifer Shaffer</v>
      </c>
      <c r="L688" t="str">
        <f t="shared" si="61"/>
        <v>Male</v>
      </c>
      <c r="M688" t="str">
        <f t="shared" si="62"/>
        <v>Brittany Watson</v>
      </c>
      <c r="N688" s="4" t="str">
        <f t="shared" si="63"/>
        <v>Orthopedics</v>
      </c>
      <c r="O688" s="6">
        <f t="shared" si="64"/>
        <v>382.64</v>
      </c>
      <c r="P688" s="4" t="str">
        <f t="shared" si="65"/>
        <v>Yes</v>
      </c>
      <c r="Q688" s="4" t="str">
        <f>IF(OR(A688="",C688="",L688="Missing",M688="Missing",O688="0.00",K688="Missing"),"Review","OK")</f>
        <v>OK</v>
      </c>
    </row>
    <row r="689" spans="1:17" x14ac:dyDescent="0.3">
      <c r="A689">
        <v>1065</v>
      </c>
      <c r="B689" t="s">
        <v>2204</v>
      </c>
      <c r="C689">
        <v>80</v>
      </c>
      <c r="D689" t="s">
        <v>16</v>
      </c>
      <c r="E689" s="3">
        <v>45966</v>
      </c>
      <c r="F689" s="3">
        <v>45587</v>
      </c>
      <c r="G689" t="s">
        <v>2205</v>
      </c>
      <c r="H689" t="s">
        <v>13</v>
      </c>
      <c r="I689" t="s">
        <v>2206</v>
      </c>
      <c r="J689">
        <v>0</v>
      </c>
      <c r="K689" t="str">
        <f t="shared" si="60"/>
        <v>Leslie Newman</v>
      </c>
      <c r="L689" t="str">
        <f t="shared" si="61"/>
        <v>Female</v>
      </c>
      <c r="M689" t="str">
        <f t="shared" si="62"/>
        <v>Lindsey Mendoza</v>
      </c>
      <c r="N689" s="4" t="str">
        <f t="shared" si="63"/>
        <v>Cardiology</v>
      </c>
      <c r="O689" s="6">
        <f t="shared" si="64"/>
        <v>125.35</v>
      </c>
      <c r="P689" s="4" t="str">
        <f t="shared" si="65"/>
        <v>No</v>
      </c>
      <c r="Q689" s="4" t="str">
        <f>IF(OR(A689="",C689="",L689="Missing",M689="Missing",O689="0.00",K689="Missing"),"Review","OK")</f>
        <v>OK</v>
      </c>
    </row>
    <row r="690" spans="1:17" x14ac:dyDescent="0.3">
      <c r="A690">
        <v>1058</v>
      </c>
      <c r="B690" t="s">
        <v>2207</v>
      </c>
      <c r="C690">
        <v>27</v>
      </c>
      <c r="D690" t="s">
        <v>76</v>
      </c>
      <c r="E690" s="3">
        <v>45863</v>
      </c>
      <c r="F690" s="3" t="s">
        <v>2208</v>
      </c>
      <c r="G690" t="s">
        <v>2209</v>
      </c>
      <c r="H690" t="s">
        <v>19</v>
      </c>
      <c r="I690" t="s">
        <v>2210</v>
      </c>
      <c r="J690" t="s">
        <v>31</v>
      </c>
      <c r="K690" t="str">
        <f t="shared" si="60"/>
        <v>Alejandro Romero</v>
      </c>
      <c r="L690" t="str">
        <f t="shared" si="61"/>
        <v>Male</v>
      </c>
      <c r="M690" t="str">
        <f t="shared" si="62"/>
        <v>Karen Hancock</v>
      </c>
      <c r="N690" s="4" t="str">
        <f t="shared" si="63"/>
        <v>Orthopedics</v>
      </c>
      <c r="O690" s="6">
        <f t="shared" si="64"/>
        <v>206.69</v>
      </c>
      <c r="P690" s="4" t="str">
        <f t="shared" si="65"/>
        <v>No</v>
      </c>
      <c r="Q690" s="4" t="str">
        <f>IF(OR(A690="",C690="",L690="Missing",M690="Missing",O690="0.00",K690="Missing"),"Review","OK")</f>
        <v>OK</v>
      </c>
    </row>
    <row r="691" spans="1:17" x14ac:dyDescent="0.3">
      <c r="A691">
        <v>1076</v>
      </c>
      <c r="B691" t="s">
        <v>2211</v>
      </c>
      <c r="C691">
        <v>39</v>
      </c>
      <c r="D691" t="s">
        <v>11</v>
      </c>
      <c r="E691" s="3">
        <v>45807</v>
      </c>
      <c r="F691" s="3">
        <v>45783</v>
      </c>
      <c r="G691" t="s">
        <v>2212</v>
      </c>
      <c r="H691" t="s">
        <v>29</v>
      </c>
      <c r="I691" t="s">
        <v>2213</v>
      </c>
      <c r="J691" t="s">
        <v>39</v>
      </c>
      <c r="K691" t="str">
        <f t="shared" si="60"/>
        <v>Ashley Peterson</v>
      </c>
      <c r="L691" t="str">
        <f t="shared" si="61"/>
        <v>Female</v>
      </c>
      <c r="M691" t="str">
        <f t="shared" si="62"/>
        <v>Kyle Mcintyre</v>
      </c>
      <c r="N691" s="4" t="str">
        <f t="shared" si="63"/>
        <v>General</v>
      </c>
      <c r="O691" s="6">
        <f t="shared" si="64"/>
        <v>358.45</v>
      </c>
      <c r="P691" s="4" t="str">
        <f t="shared" si="65"/>
        <v>Yes</v>
      </c>
      <c r="Q691" s="4" t="str">
        <f>IF(OR(A691="",C691="",L691="Missing",M691="Missing",O691="0.00",K691="Missing"),"Review","OK")</f>
        <v>OK</v>
      </c>
    </row>
    <row r="692" spans="1:17" x14ac:dyDescent="0.3">
      <c r="A692">
        <v>1073</v>
      </c>
      <c r="B692" t="s">
        <v>2214</v>
      </c>
      <c r="C692">
        <v>52</v>
      </c>
      <c r="D692" t="s">
        <v>76</v>
      </c>
      <c r="E692" s="3">
        <v>45925</v>
      </c>
      <c r="F692" s="3">
        <v>45668</v>
      </c>
      <c r="G692" t="s">
        <v>2215</v>
      </c>
      <c r="H692" t="s">
        <v>13</v>
      </c>
      <c r="I692" t="s">
        <v>2216</v>
      </c>
      <c r="J692">
        <v>0</v>
      </c>
      <c r="K692" t="str">
        <f t="shared" si="60"/>
        <v>Steven Wallace</v>
      </c>
      <c r="L692" t="str">
        <f t="shared" si="61"/>
        <v>Male</v>
      </c>
      <c r="M692" t="str">
        <f t="shared" si="62"/>
        <v>Katherine Martin</v>
      </c>
      <c r="N692" s="4" t="str">
        <f t="shared" si="63"/>
        <v>Cardiology</v>
      </c>
      <c r="O692" s="6">
        <f t="shared" si="64"/>
        <v>496.62</v>
      </c>
      <c r="P692" s="4" t="str">
        <f t="shared" si="65"/>
        <v>No</v>
      </c>
      <c r="Q692" s="4" t="str">
        <f>IF(OR(A692="",C692="",L692="Missing",M692="Missing",O692="0.00",K692="Missing"),"Review","OK")</f>
        <v>OK</v>
      </c>
    </row>
    <row r="693" spans="1:17" x14ac:dyDescent="0.3">
      <c r="A693">
        <v>1054</v>
      </c>
      <c r="B693" t="s">
        <v>2217</v>
      </c>
      <c r="C693">
        <v>66</v>
      </c>
      <c r="D693" t="s">
        <v>76</v>
      </c>
      <c r="E693" s="3">
        <v>45755</v>
      </c>
      <c r="F693" s="3">
        <v>45659</v>
      </c>
      <c r="G693" t="s">
        <v>2218</v>
      </c>
      <c r="H693" t="s">
        <v>19</v>
      </c>
      <c r="I693" t="s">
        <v>2219</v>
      </c>
      <c r="J693">
        <v>1</v>
      </c>
      <c r="K693" t="str">
        <f t="shared" si="60"/>
        <v>Lindsey Sullivan Md</v>
      </c>
      <c r="L693" t="str">
        <f t="shared" si="61"/>
        <v>Male</v>
      </c>
      <c r="M693" t="str">
        <f t="shared" si="62"/>
        <v>David Barnett</v>
      </c>
      <c r="N693" s="4" t="str">
        <f t="shared" si="63"/>
        <v>Orthopedics</v>
      </c>
      <c r="O693" s="6">
        <f t="shared" si="64"/>
        <v>290.47000000000003</v>
      </c>
      <c r="P693" s="4" t="str">
        <f t="shared" si="65"/>
        <v>Yes</v>
      </c>
      <c r="Q693" s="4" t="str">
        <f>IF(OR(A693="",C693="",L693="Missing",M693="Missing",O693="0.00",K693="Missing"),"Review","OK")</f>
        <v>OK</v>
      </c>
    </row>
    <row r="694" spans="1:17" x14ac:dyDescent="0.3">
      <c r="A694">
        <v>1020</v>
      </c>
      <c r="B694" t="s">
        <v>2220</v>
      </c>
      <c r="C694">
        <v>52</v>
      </c>
      <c r="D694" t="s">
        <v>56</v>
      </c>
      <c r="E694" s="3" t="s">
        <v>2221</v>
      </c>
      <c r="F694" s="3">
        <v>45730</v>
      </c>
      <c r="G694" t="s">
        <v>2222</v>
      </c>
      <c r="H694" t="s">
        <v>29</v>
      </c>
      <c r="I694" t="s">
        <v>2223</v>
      </c>
      <c r="J694">
        <v>0</v>
      </c>
      <c r="K694" t="str">
        <f t="shared" si="60"/>
        <v>William Wilson</v>
      </c>
      <c r="L694" t="str">
        <f t="shared" si="61"/>
        <v>Male</v>
      </c>
      <c r="M694" t="str">
        <f t="shared" si="62"/>
        <v>Jacob Bernard</v>
      </c>
      <c r="N694" s="4" t="str">
        <f t="shared" si="63"/>
        <v>General</v>
      </c>
      <c r="O694" s="6">
        <f t="shared" si="64"/>
        <v>346.4</v>
      </c>
      <c r="P694" s="4" t="str">
        <f t="shared" si="65"/>
        <v>No</v>
      </c>
      <c r="Q694" s="4" t="str">
        <f>IF(OR(A694="",C694="",L694="Missing",M694="Missing",O694="0.00",K694="Missing"),"Review","OK")</f>
        <v>OK</v>
      </c>
    </row>
    <row r="695" spans="1:17" x14ac:dyDescent="0.3">
      <c r="A695">
        <v>1087</v>
      </c>
      <c r="B695" t="s">
        <v>2224</v>
      </c>
      <c r="C695">
        <v>78</v>
      </c>
      <c r="D695" t="s">
        <v>76</v>
      </c>
      <c r="E695" s="3">
        <v>46044</v>
      </c>
      <c r="F695" s="3">
        <v>45844</v>
      </c>
      <c r="G695" t="s">
        <v>2225</v>
      </c>
      <c r="H695" t="s">
        <v>29</v>
      </c>
      <c r="I695" t="s">
        <v>2226</v>
      </c>
      <c r="J695" t="s">
        <v>31</v>
      </c>
      <c r="K695" t="str">
        <f t="shared" si="60"/>
        <v>Kenneth Cox</v>
      </c>
      <c r="L695" t="str">
        <f t="shared" si="61"/>
        <v>Male</v>
      </c>
      <c r="M695" t="str">
        <f t="shared" si="62"/>
        <v>Brian Walker</v>
      </c>
      <c r="N695" s="4" t="str">
        <f t="shared" si="63"/>
        <v>General</v>
      </c>
      <c r="O695" s="6">
        <f t="shared" si="64"/>
        <v>123.28</v>
      </c>
      <c r="P695" s="4" t="str">
        <f t="shared" si="65"/>
        <v>No</v>
      </c>
      <c r="Q695" s="4" t="str">
        <f>IF(OR(A695="",C695="",L695="Missing",M695="Missing",O695="0.00",K695="Missing"),"Review","OK")</f>
        <v>OK</v>
      </c>
    </row>
    <row r="696" spans="1:17" x14ac:dyDescent="0.3">
      <c r="A696">
        <v>1012</v>
      </c>
      <c r="B696" t="s">
        <v>2227</v>
      </c>
      <c r="C696">
        <v>45</v>
      </c>
      <c r="D696">
        <v>0</v>
      </c>
      <c r="E696" s="3">
        <v>45863</v>
      </c>
      <c r="F696" s="3">
        <v>45535</v>
      </c>
      <c r="G696" t="s">
        <v>2228</v>
      </c>
      <c r="H696" t="s">
        <v>19</v>
      </c>
      <c r="I696" t="s">
        <v>2229</v>
      </c>
      <c r="J696" t="s">
        <v>31</v>
      </c>
      <c r="K696" t="str">
        <f t="shared" si="60"/>
        <v>Susan Winters</v>
      </c>
      <c r="L696" t="str">
        <f t="shared" si="61"/>
        <v>Male</v>
      </c>
      <c r="M696" t="str">
        <f t="shared" si="62"/>
        <v>Christopher Simpson</v>
      </c>
      <c r="N696" s="4" t="str">
        <f t="shared" si="63"/>
        <v>Orthopedics</v>
      </c>
      <c r="O696" s="6">
        <f t="shared" si="64"/>
        <v>353.09</v>
      </c>
      <c r="P696" s="4" t="str">
        <f t="shared" si="65"/>
        <v>No</v>
      </c>
      <c r="Q696" s="4" t="str">
        <f>IF(OR(A696="",C696="",L696="Missing",M696="Missing",O696="0.00",K696="Missing"),"Review","OK")</f>
        <v>OK</v>
      </c>
    </row>
    <row r="697" spans="1:17" x14ac:dyDescent="0.3">
      <c r="A697">
        <v>1085</v>
      </c>
      <c r="B697" t="s">
        <v>2230</v>
      </c>
      <c r="C697">
        <v>30</v>
      </c>
      <c r="D697" t="s">
        <v>76</v>
      </c>
      <c r="E697" s="3">
        <v>46014</v>
      </c>
      <c r="F697" s="3">
        <v>45455</v>
      </c>
      <c r="G697" t="s">
        <v>2231</v>
      </c>
      <c r="H697" t="s">
        <v>25</v>
      </c>
      <c r="I697" t="s">
        <v>2232</v>
      </c>
      <c r="J697">
        <v>1</v>
      </c>
      <c r="K697" t="str">
        <f t="shared" si="60"/>
        <v>Marissa Randall</v>
      </c>
      <c r="L697" t="str">
        <f t="shared" si="61"/>
        <v>Male</v>
      </c>
      <c r="M697" t="str">
        <f t="shared" si="62"/>
        <v>Kent Cannon</v>
      </c>
      <c r="N697" s="4" t="str">
        <f t="shared" si="63"/>
        <v>Neurology</v>
      </c>
      <c r="O697" s="6">
        <f t="shared" si="64"/>
        <v>299.12</v>
      </c>
      <c r="P697" s="4" t="str">
        <f t="shared" si="65"/>
        <v>Yes</v>
      </c>
      <c r="Q697" s="4" t="str">
        <f>IF(OR(A697="",C697="",L697="Missing",M697="Missing",O697="0.00",K697="Missing"),"Review","OK")</f>
        <v>OK</v>
      </c>
    </row>
    <row r="698" spans="1:17" x14ac:dyDescent="0.3">
      <c r="A698">
        <v>1012</v>
      </c>
      <c r="B698" t="s">
        <v>2233</v>
      </c>
      <c r="C698">
        <v>30</v>
      </c>
      <c r="D698" t="s">
        <v>16</v>
      </c>
      <c r="E698" s="3">
        <v>45994</v>
      </c>
      <c r="F698" s="3">
        <v>45430</v>
      </c>
      <c r="G698" t="s">
        <v>2234</v>
      </c>
      <c r="H698" t="s">
        <v>25</v>
      </c>
      <c r="I698" t="s">
        <v>2235</v>
      </c>
      <c r="J698">
        <v>1</v>
      </c>
      <c r="K698" t="str">
        <f t="shared" si="60"/>
        <v>Lydia Davis</v>
      </c>
      <c r="L698" t="str">
        <f t="shared" si="61"/>
        <v>Female</v>
      </c>
      <c r="M698" t="str">
        <f t="shared" si="62"/>
        <v>Brian Rodriguez</v>
      </c>
      <c r="N698" s="4" t="str">
        <f t="shared" si="63"/>
        <v>Neurology</v>
      </c>
      <c r="O698" s="6">
        <f t="shared" si="64"/>
        <v>286.79000000000002</v>
      </c>
      <c r="P698" s="4" t="str">
        <f t="shared" si="65"/>
        <v>Yes</v>
      </c>
      <c r="Q698" s="4" t="str">
        <f>IF(OR(A698="",C698="",L698="Missing",M698="Missing",O698="0.00",K698="Missing"),"Review","OK")</f>
        <v>OK</v>
      </c>
    </row>
    <row r="699" spans="1:17" x14ac:dyDescent="0.3">
      <c r="A699">
        <v>1063</v>
      </c>
      <c r="B699" t="s">
        <v>2236</v>
      </c>
      <c r="C699">
        <v>46</v>
      </c>
      <c r="D699" t="s">
        <v>23</v>
      </c>
      <c r="E699" s="3">
        <v>45948</v>
      </c>
      <c r="F699" s="3">
        <v>45568</v>
      </c>
      <c r="G699" t="s">
        <v>2237</v>
      </c>
      <c r="H699" t="s">
        <v>19</v>
      </c>
      <c r="I699" t="s">
        <v>2238</v>
      </c>
      <c r="J699" t="s">
        <v>65</v>
      </c>
      <c r="K699" t="str">
        <f t="shared" si="60"/>
        <v>Jason Kennedy</v>
      </c>
      <c r="L699" t="str">
        <f t="shared" si="61"/>
        <v>Male</v>
      </c>
      <c r="M699" t="str">
        <f t="shared" si="62"/>
        <v>Robert Fowler</v>
      </c>
      <c r="N699" s="4" t="str">
        <f t="shared" si="63"/>
        <v>Orthopedics</v>
      </c>
      <c r="O699" s="6">
        <f t="shared" si="64"/>
        <v>330.76</v>
      </c>
      <c r="P699" s="4" t="str">
        <f t="shared" si="65"/>
        <v>No</v>
      </c>
      <c r="Q699" s="4" t="str">
        <f>IF(OR(A699="",C699="",L699="Missing",M699="Missing",O699="0.00",K699="Missing"),"Review","OK")</f>
        <v>OK</v>
      </c>
    </row>
    <row r="700" spans="1:17" x14ac:dyDescent="0.3">
      <c r="A700">
        <v>1046</v>
      </c>
      <c r="B700" t="s">
        <v>1239</v>
      </c>
      <c r="C700">
        <v>28</v>
      </c>
      <c r="D700">
        <v>1</v>
      </c>
      <c r="E700" s="3">
        <v>45767</v>
      </c>
      <c r="F700" s="3">
        <v>45505</v>
      </c>
      <c r="G700" t="s">
        <v>2239</v>
      </c>
      <c r="H700" t="s">
        <v>19</v>
      </c>
      <c r="I700" t="s">
        <v>2240</v>
      </c>
      <c r="J700" t="s">
        <v>21</v>
      </c>
      <c r="K700" t="str">
        <f t="shared" si="60"/>
        <v>Melissa Brown</v>
      </c>
      <c r="L700" t="str">
        <f t="shared" si="61"/>
        <v>Female</v>
      </c>
      <c r="M700" t="str">
        <f t="shared" si="62"/>
        <v>Bill Brown</v>
      </c>
      <c r="N700" s="4" t="str">
        <f t="shared" si="63"/>
        <v>Orthopedics</v>
      </c>
      <c r="O700" s="6">
        <f t="shared" si="64"/>
        <v>69.760000000000005</v>
      </c>
      <c r="P700" s="4" t="str">
        <f t="shared" si="65"/>
        <v>Yes</v>
      </c>
      <c r="Q700" s="4" t="str">
        <f>IF(OR(A700="",C700="",L700="Missing",M700="Missing",O700="0.00",K700="Missing"),"Review","OK")</f>
        <v>OK</v>
      </c>
    </row>
    <row r="701" spans="1:17" x14ac:dyDescent="0.3">
      <c r="A701">
        <v>1031</v>
      </c>
      <c r="B701" t="s">
        <v>2241</v>
      </c>
      <c r="C701">
        <v>57</v>
      </c>
      <c r="D701">
        <v>0</v>
      </c>
      <c r="E701" s="3">
        <v>45808</v>
      </c>
      <c r="F701" s="3">
        <v>45702</v>
      </c>
      <c r="G701" t="s">
        <v>2242</v>
      </c>
      <c r="H701" t="s">
        <v>19</v>
      </c>
      <c r="I701" t="s">
        <v>2243</v>
      </c>
      <c r="J701" t="s">
        <v>31</v>
      </c>
      <c r="K701" t="str">
        <f t="shared" si="60"/>
        <v>Shannon Vargas</v>
      </c>
      <c r="L701" t="str">
        <f t="shared" si="61"/>
        <v>Male</v>
      </c>
      <c r="M701" t="str">
        <f t="shared" si="62"/>
        <v>Brian Caldwell</v>
      </c>
      <c r="N701" s="4" t="str">
        <f t="shared" si="63"/>
        <v>Orthopedics</v>
      </c>
      <c r="O701" s="6">
        <f t="shared" si="64"/>
        <v>341.11</v>
      </c>
      <c r="P701" s="4" t="str">
        <f t="shared" si="65"/>
        <v>No</v>
      </c>
      <c r="Q701" s="4" t="str">
        <f>IF(OR(A701="",C701="",L701="Missing",M701="Missing",O701="0.00",K701="Missing"),"Review","OK")</f>
        <v>OK</v>
      </c>
    </row>
    <row r="702" spans="1:17" x14ac:dyDescent="0.3">
      <c r="A702">
        <v>1098</v>
      </c>
      <c r="B702" t="s">
        <v>2244</v>
      </c>
      <c r="C702">
        <v>27</v>
      </c>
      <c r="E702" s="3">
        <v>46297</v>
      </c>
      <c r="F702" s="3" t="s">
        <v>230</v>
      </c>
      <c r="G702" t="s">
        <v>2245</v>
      </c>
      <c r="H702" t="s">
        <v>29</v>
      </c>
      <c r="I702" t="s">
        <v>2246</v>
      </c>
      <c r="J702" t="s">
        <v>65</v>
      </c>
      <c r="K702" t="str">
        <f t="shared" si="60"/>
        <v>Jennifer Dorsey</v>
      </c>
      <c r="L702" t="str">
        <f t="shared" si="61"/>
        <v>Missing</v>
      </c>
      <c r="M702" t="str">
        <f t="shared" si="62"/>
        <v>Michael Stanley</v>
      </c>
      <c r="N702" s="4" t="str">
        <f t="shared" si="63"/>
        <v>General</v>
      </c>
      <c r="O702" s="6">
        <f t="shared" si="64"/>
        <v>147.08000000000001</v>
      </c>
      <c r="P702" s="4" t="str">
        <f t="shared" si="65"/>
        <v>No</v>
      </c>
      <c r="Q702" s="4" t="str">
        <f>IF(OR(A702="",C702="",L702="Missing",M702="Missing",O702="0.00",K702="Missing"),"Review","OK")</f>
        <v>Review</v>
      </c>
    </row>
    <row r="703" spans="1:17" x14ac:dyDescent="0.3">
      <c r="A703">
        <v>1021</v>
      </c>
      <c r="B703" t="s">
        <v>2247</v>
      </c>
      <c r="C703">
        <v>63</v>
      </c>
      <c r="D703" t="s">
        <v>56</v>
      </c>
      <c r="E703" s="3">
        <v>45843</v>
      </c>
      <c r="F703" s="3">
        <v>45829</v>
      </c>
      <c r="G703" t="s">
        <v>2248</v>
      </c>
      <c r="H703" t="s">
        <v>25</v>
      </c>
      <c r="I703" t="s">
        <v>2249</v>
      </c>
      <c r="J703">
        <v>1</v>
      </c>
      <c r="K703" t="str">
        <f t="shared" si="60"/>
        <v>Gary Simpson</v>
      </c>
      <c r="L703" t="str">
        <f t="shared" si="61"/>
        <v>Male</v>
      </c>
      <c r="M703" t="str">
        <f t="shared" si="62"/>
        <v>Veronica Chen</v>
      </c>
      <c r="N703" s="4" t="str">
        <f t="shared" si="63"/>
        <v>Neurology</v>
      </c>
      <c r="O703" s="6">
        <f t="shared" si="64"/>
        <v>462.6</v>
      </c>
      <c r="P703" s="4" t="str">
        <f t="shared" si="65"/>
        <v>Yes</v>
      </c>
      <c r="Q703" s="4" t="str">
        <f>IF(OR(A703="",C703="",L703="Missing",M703="Missing",O703="0.00",K703="Missing"),"Review","OK")</f>
        <v>OK</v>
      </c>
    </row>
    <row r="704" spans="1:17" x14ac:dyDescent="0.3">
      <c r="A704">
        <v>1085</v>
      </c>
      <c r="B704" t="s">
        <v>2250</v>
      </c>
      <c r="C704">
        <v>25</v>
      </c>
      <c r="D704" t="s">
        <v>16</v>
      </c>
      <c r="E704" s="3">
        <v>45943</v>
      </c>
      <c r="F704" s="3">
        <v>45729</v>
      </c>
      <c r="G704" t="s">
        <v>2251</v>
      </c>
      <c r="H704" t="s">
        <v>29</v>
      </c>
      <c r="I704" t="s">
        <v>2252</v>
      </c>
      <c r="J704" t="s">
        <v>39</v>
      </c>
      <c r="K704" t="str">
        <f t="shared" si="60"/>
        <v>Nicole Adams</v>
      </c>
      <c r="L704" t="str">
        <f t="shared" si="61"/>
        <v>Female</v>
      </c>
      <c r="M704" t="str">
        <f t="shared" si="62"/>
        <v>Krystal Krueger</v>
      </c>
      <c r="N704" s="4" t="str">
        <f t="shared" si="63"/>
        <v>General</v>
      </c>
      <c r="O704" s="6">
        <f t="shared" si="64"/>
        <v>357.53</v>
      </c>
      <c r="P704" s="4" t="str">
        <f t="shared" si="65"/>
        <v>Yes</v>
      </c>
      <c r="Q704" s="4" t="str">
        <f>IF(OR(A704="",C704="",L704="Missing",M704="Missing",O704="0.00",K704="Missing"),"Review","OK")</f>
        <v>OK</v>
      </c>
    </row>
    <row r="705" spans="1:17" x14ac:dyDescent="0.3">
      <c r="A705">
        <v>1015</v>
      </c>
      <c r="B705" t="s">
        <v>2253</v>
      </c>
      <c r="C705">
        <v>84</v>
      </c>
      <c r="D705">
        <v>0</v>
      </c>
      <c r="E705" s="3">
        <v>46106</v>
      </c>
      <c r="F705" s="3" t="s">
        <v>37</v>
      </c>
      <c r="G705" t="s">
        <v>2254</v>
      </c>
      <c r="H705" t="s">
        <v>13</v>
      </c>
      <c r="I705" t="s">
        <v>2255</v>
      </c>
      <c r="J705">
        <v>1</v>
      </c>
      <c r="K705" t="str">
        <f t="shared" si="60"/>
        <v>Gary Ramos</v>
      </c>
      <c r="L705" t="str">
        <f t="shared" si="61"/>
        <v>Male</v>
      </c>
      <c r="M705" t="str">
        <f t="shared" si="62"/>
        <v>Gregory Riley</v>
      </c>
      <c r="N705" s="4" t="str">
        <f t="shared" si="63"/>
        <v>Cardiology</v>
      </c>
      <c r="O705" s="6">
        <f t="shared" si="64"/>
        <v>353.35</v>
      </c>
      <c r="P705" s="4" t="str">
        <f t="shared" si="65"/>
        <v>Yes</v>
      </c>
      <c r="Q705" s="4" t="str">
        <f>IF(OR(A705="",C705="",L705="Missing",M705="Missing",O705="0.00",K705="Missing"),"Review","OK")</f>
        <v>OK</v>
      </c>
    </row>
    <row r="706" spans="1:17" x14ac:dyDescent="0.3">
      <c r="A706">
        <v>1015</v>
      </c>
      <c r="B706" t="s">
        <v>2256</v>
      </c>
      <c r="C706">
        <v>86</v>
      </c>
      <c r="E706" s="3">
        <v>45922</v>
      </c>
      <c r="F706" s="3">
        <v>45488</v>
      </c>
      <c r="G706" t="s">
        <v>2257</v>
      </c>
      <c r="H706" t="s">
        <v>19</v>
      </c>
      <c r="I706" t="s">
        <v>2258</v>
      </c>
      <c r="J706" t="s">
        <v>39</v>
      </c>
      <c r="K706" t="str">
        <f t="shared" ref="K706:K769" si="66">PROPER(TRIM(CLEAN(B706)))</f>
        <v>Veronica Shaw</v>
      </c>
      <c r="L706" t="str">
        <f t="shared" ref="L706:L769" si="67">_xlfn.LET(_xlpm.x,LOWER(TRIM(D706)),
IF(OR(_xlpm.x="f",_xlpm.x="female",_xlpm.x="1"),"Female",
IF(OR(_xlpm.x="m",_xlpm.x="male",_xlpm.x="0"),"Male",
IF(_xlpm.x="","Missing","Review"))))</f>
        <v>Missing</v>
      </c>
      <c r="M706" t="str">
        <f t="shared" ref="M706:M769" si="68">PROPER(TRIM(CLEAN(G706)))</f>
        <v>Michael Franco</v>
      </c>
      <c r="N706" s="4" t="str">
        <f t="shared" ref="N706:N769" si="69">PROPER(TRIM(CLEAN(H706)))</f>
        <v>Orthopedics</v>
      </c>
      <c r="O706" s="6">
        <f t="shared" ref="O706:O769" si="70">_xlfn.LET(_xlpm.x,TRIM(I706),IF(_xlpm.x="","0.00",IFERROR(VALUE(SUBSTITUTE(SUBSTITUTE(SUBSTITUTE(SUBSTITUTE(SUBSTITUTE(SUBSTITUTE(_xlpm.x,"Â£",""),"â‚¬",""),"$",""),"Rs",""),"£",""),"€","")),"0.00")))</f>
        <v>174.42</v>
      </c>
      <c r="P706" s="4" t="str">
        <f t="shared" ref="P706:P769" si="71">_xlfn.LET(_xlpm.x,LOWER(TRIM(J706)),
IF(OR(_xlpm.x="y",_xlpm.x="yes",_xlpm.x="1"),"Yes",
IF(OR(_xlpm.x="n",_xlpm.x="no",_xlpm.x="0"),"No",
IF(_xlpm.x="","Missing","Review"))))</f>
        <v>Yes</v>
      </c>
      <c r="Q706" s="4" t="str">
        <f>IF(OR(A706="",C706="",L706="Missing",M706="Missing",O706="0.00",K706="Missing"),"Review","OK")</f>
        <v>Review</v>
      </c>
    </row>
    <row r="707" spans="1:17" x14ac:dyDescent="0.3">
      <c r="A707">
        <v>1008</v>
      </c>
      <c r="B707" t="s">
        <v>2259</v>
      </c>
      <c r="C707">
        <v>40</v>
      </c>
      <c r="D707">
        <v>0</v>
      </c>
      <c r="E707" s="3">
        <v>45960</v>
      </c>
      <c r="F707" s="3">
        <v>45504</v>
      </c>
      <c r="G707" t="s">
        <v>2260</v>
      </c>
      <c r="H707" t="s">
        <v>19</v>
      </c>
      <c r="I707" t="s">
        <v>2261</v>
      </c>
      <c r="J707" t="s">
        <v>65</v>
      </c>
      <c r="K707" t="str">
        <f t="shared" si="66"/>
        <v>Lisa Smith</v>
      </c>
      <c r="L707" t="str">
        <f t="shared" si="67"/>
        <v>Male</v>
      </c>
      <c r="M707" t="str">
        <f t="shared" si="68"/>
        <v>Daniel Beck</v>
      </c>
      <c r="N707" s="4" t="str">
        <f t="shared" si="69"/>
        <v>Orthopedics</v>
      </c>
      <c r="O707" s="6">
        <f t="shared" si="70"/>
        <v>449.41</v>
      </c>
      <c r="P707" s="4" t="str">
        <f t="shared" si="71"/>
        <v>No</v>
      </c>
      <c r="Q707" s="4" t="str">
        <f>IF(OR(A707="",C707="",L707="Missing",M707="Missing",O707="0.00",K707="Missing"),"Review","OK")</f>
        <v>OK</v>
      </c>
    </row>
    <row r="708" spans="1:17" x14ac:dyDescent="0.3">
      <c r="A708">
        <v>1080</v>
      </c>
      <c r="B708" t="s">
        <v>2262</v>
      </c>
      <c r="C708">
        <v>78</v>
      </c>
      <c r="D708" t="s">
        <v>56</v>
      </c>
      <c r="E708" s="3">
        <v>46055</v>
      </c>
      <c r="F708" s="3">
        <v>45975</v>
      </c>
      <c r="G708" t="s">
        <v>2263</v>
      </c>
      <c r="H708" t="s">
        <v>13</v>
      </c>
      <c r="I708" t="s">
        <v>2264</v>
      </c>
      <c r="J708" t="s">
        <v>31</v>
      </c>
      <c r="K708" t="str">
        <f t="shared" si="66"/>
        <v>Eric Lawson</v>
      </c>
      <c r="L708" t="str">
        <f t="shared" si="67"/>
        <v>Male</v>
      </c>
      <c r="M708" t="str">
        <f t="shared" si="68"/>
        <v>Andrew Webb</v>
      </c>
      <c r="N708" s="4" t="str">
        <f t="shared" si="69"/>
        <v>Cardiology</v>
      </c>
      <c r="O708" s="6">
        <f t="shared" si="70"/>
        <v>179.07</v>
      </c>
      <c r="P708" s="4" t="str">
        <f t="shared" si="71"/>
        <v>No</v>
      </c>
      <c r="Q708" s="4" t="str">
        <f>IF(OR(A708="",C708="",L708="Missing",M708="Missing",O708="0.00",K708="Missing"),"Review","OK")</f>
        <v>OK</v>
      </c>
    </row>
    <row r="709" spans="1:17" x14ac:dyDescent="0.3">
      <c r="A709">
        <v>1067</v>
      </c>
      <c r="B709" t="s">
        <v>2265</v>
      </c>
      <c r="C709">
        <v>28</v>
      </c>
      <c r="D709" t="s">
        <v>76</v>
      </c>
      <c r="E709" s="3">
        <v>46029</v>
      </c>
      <c r="F709" s="3">
        <v>45892</v>
      </c>
      <c r="G709" t="s">
        <v>2266</v>
      </c>
      <c r="H709" t="s">
        <v>13</v>
      </c>
      <c r="I709" t="s">
        <v>2267</v>
      </c>
      <c r="J709" t="s">
        <v>21</v>
      </c>
      <c r="K709" t="str">
        <f t="shared" si="66"/>
        <v>Vanessa Wright</v>
      </c>
      <c r="L709" t="str">
        <f t="shared" si="67"/>
        <v>Male</v>
      </c>
      <c r="M709" t="str">
        <f t="shared" si="68"/>
        <v>Virginia Sharp</v>
      </c>
      <c r="N709" s="4" t="str">
        <f t="shared" si="69"/>
        <v>Cardiology</v>
      </c>
      <c r="O709" s="6">
        <f t="shared" si="70"/>
        <v>344.67</v>
      </c>
      <c r="P709" s="4" t="str">
        <f t="shared" si="71"/>
        <v>Yes</v>
      </c>
      <c r="Q709" s="4" t="str">
        <f>IF(OR(A709="",C709="",L709="Missing",M709="Missing",O709="0.00",K709="Missing"),"Review","OK")</f>
        <v>OK</v>
      </c>
    </row>
    <row r="710" spans="1:17" x14ac:dyDescent="0.3">
      <c r="A710">
        <v>1043</v>
      </c>
      <c r="B710" t="s">
        <v>2268</v>
      </c>
      <c r="C710">
        <v>80</v>
      </c>
      <c r="D710" t="s">
        <v>16</v>
      </c>
      <c r="E710" s="3">
        <v>45928</v>
      </c>
      <c r="F710" s="3">
        <v>45534</v>
      </c>
      <c r="G710" t="s">
        <v>2269</v>
      </c>
      <c r="H710" t="s">
        <v>25</v>
      </c>
      <c r="I710" t="s">
        <v>2270</v>
      </c>
      <c r="J710">
        <v>1</v>
      </c>
      <c r="K710" t="str">
        <f t="shared" si="66"/>
        <v>Edward Thomas</v>
      </c>
      <c r="L710" t="str">
        <f t="shared" si="67"/>
        <v>Female</v>
      </c>
      <c r="M710" t="str">
        <f t="shared" si="68"/>
        <v>Teresa Medina</v>
      </c>
      <c r="N710" s="4" t="str">
        <f t="shared" si="69"/>
        <v>Neurology</v>
      </c>
      <c r="O710" s="6">
        <f t="shared" si="70"/>
        <v>84.72</v>
      </c>
      <c r="P710" s="4" t="str">
        <f t="shared" si="71"/>
        <v>Yes</v>
      </c>
      <c r="Q710" s="4" t="str">
        <f>IF(OR(A710="",C710="",L710="Missing",M710="Missing",O710="0.00",K710="Missing"),"Review","OK")</f>
        <v>OK</v>
      </c>
    </row>
    <row r="711" spans="1:17" x14ac:dyDescent="0.3">
      <c r="A711">
        <v>1058</v>
      </c>
      <c r="B711" t="s">
        <v>2271</v>
      </c>
      <c r="C711">
        <v>34</v>
      </c>
      <c r="D711" t="s">
        <v>76</v>
      </c>
      <c r="E711" s="3">
        <v>45770</v>
      </c>
      <c r="F711" s="3">
        <v>45634</v>
      </c>
      <c r="G711" t="s">
        <v>2272</v>
      </c>
      <c r="H711" t="s">
        <v>19</v>
      </c>
      <c r="J711">
        <v>1</v>
      </c>
      <c r="K711" t="str">
        <f t="shared" si="66"/>
        <v>Cassandra Peterson</v>
      </c>
      <c r="L711" t="str">
        <f t="shared" si="67"/>
        <v>Male</v>
      </c>
      <c r="M711" t="str">
        <f t="shared" si="68"/>
        <v>Mary Sanchez</v>
      </c>
      <c r="N711" s="4" t="str">
        <f t="shared" si="69"/>
        <v>Orthopedics</v>
      </c>
      <c r="O711" s="6" t="str">
        <f t="shared" si="70"/>
        <v>0.00</v>
      </c>
      <c r="P711" s="4" t="str">
        <f t="shared" si="71"/>
        <v>Yes</v>
      </c>
      <c r="Q711" s="4" t="str">
        <f>IF(OR(A711="",C711="",L711="Missing",M711="Missing",O711="0.00",K711="Missing"),"Review","OK")</f>
        <v>Review</v>
      </c>
    </row>
    <row r="712" spans="1:17" x14ac:dyDescent="0.3">
      <c r="A712">
        <v>1001</v>
      </c>
      <c r="B712" t="s">
        <v>2273</v>
      </c>
      <c r="C712">
        <v>35</v>
      </c>
      <c r="D712" t="s">
        <v>56</v>
      </c>
      <c r="E712" s="3">
        <v>45852</v>
      </c>
      <c r="F712" s="3">
        <v>45475</v>
      </c>
      <c r="G712" t="s">
        <v>2274</v>
      </c>
      <c r="H712" t="s">
        <v>19</v>
      </c>
      <c r="I712" t="s">
        <v>2275</v>
      </c>
      <c r="J712">
        <v>0</v>
      </c>
      <c r="K712" t="str">
        <f t="shared" si="66"/>
        <v>Ellen Stevens</v>
      </c>
      <c r="L712" t="str">
        <f t="shared" si="67"/>
        <v>Male</v>
      </c>
      <c r="M712" t="str">
        <f t="shared" si="68"/>
        <v>Charles Wells</v>
      </c>
      <c r="N712" s="4" t="str">
        <f t="shared" si="69"/>
        <v>Orthopedics</v>
      </c>
      <c r="O712" s="6">
        <f t="shared" si="70"/>
        <v>479.79</v>
      </c>
      <c r="P712" s="4" t="str">
        <f t="shared" si="71"/>
        <v>No</v>
      </c>
      <c r="Q712" s="4" t="str">
        <f>IF(OR(A712="",C712="",L712="Missing",M712="Missing",O712="0.00",K712="Missing"),"Review","OK")</f>
        <v>OK</v>
      </c>
    </row>
    <row r="713" spans="1:17" x14ac:dyDescent="0.3">
      <c r="A713">
        <v>1012</v>
      </c>
      <c r="B713" t="s">
        <v>2276</v>
      </c>
      <c r="C713">
        <v>36</v>
      </c>
      <c r="D713">
        <v>1</v>
      </c>
      <c r="E713" s="3">
        <v>46106</v>
      </c>
      <c r="F713" s="3">
        <v>45356</v>
      </c>
      <c r="G713" t="s">
        <v>2277</v>
      </c>
      <c r="H713" t="s">
        <v>13</v>
      </c>
      <c r="I713" t="s">
        <v>2278</v>
      </c>
      <c r="J713" t="s">
        <v>65</v>
      </c>
      <c r="K713" t="str">
        <f t="shared" si="66"/>
        <v>Shawn Mendoza</v>
      </c>
      <c r="L713" t="str">
        <f t="shared" si="67"/>
        <v>Female</v>
      </c>
      <c r="M713" t="str">
        <f t="shared" si="68"/>
        <v>Erin Walton</v>
      </c>
      <c r="N713" s="4" t="str">
        <f t="shared" si="69"/>
        <v>Cardiology</v>
      </c>
      <c r="O713" s="6">
        <f t="shared" si="70"/>
        <v>77.989999999999995</v>
      </c>
      <c r="P713" s="4" t="str">
        <f t="shared" si="71"/>
        <v>No</v>
      </c>
      <c r="Q713" s="4" t="str">
        <f>IF(OR(A713="",C713="",L713="Missing",M713="Missing",O713="0.00",K713="Missing"),"Review","OK")</f>
        <v>OK</v>
      </c>
    </row>
    <row r="714" spans="1:17" x14ac:dyDescent="0.3">
      <c r="A714">
        <v>1066</v>
      </c>
      <c r="B714" t="s">
        <v>2279</v>
      </c>
      <c r="C714">
        <v>65</v>
      </c>
      <c r="D714" t="s">
        <v>76</v>
      </c>
      <c r="E714" s="3">
        <v>45938</v>
      </c>
      <c r="F714" s="3">
        <v>45663</v>
      </c>
      <c r="G714" t="s">
        <v>2280</v>
      </c>
      <c r="H714" t="s">
        <v>19</v>
      </c>
      <c r="I714" t="s">
        <v>2281</v>
      </c>
      <c r="J714" t="s">
        <v>39</v>
      </c>
      <c r="K714" t="str">
        <f t="shared" si="66"/>
        <v>Sandra Hill</v>
      </c>
      <c r="L714" t="str">
        <f t="shared" si="67"/>
        <v>Male</v>
      </c>
      <c r="M714" t="str">
        <f t="shared" si="68"/>
        <v>Julie May</v>
      </c>
      <c r="N714" s="4" t="str">
        <f t="shared" si="69"/>
        <v>Orthopedics</v>
      </c>
      <c r="O714" s="6">
        <f t="shared" si="70"/>
        <v>113.2</v>
      </c>
      <c r="P714" s="4" t="str">
        <f t="shared" si="71"/>
        <v>Yes</v>
      </c>
      <c r="Q714" s="4" t="str">
        <f>IF(OR(A714="",C714="",L714="Missing",M714="Missing",O714="0.00",K714="Missing"),"Review","OK")</f>
        <v>OK</v>
      </c>
    </row>
    <row r="715" spans="1:17" x14ac:dyDescent="0.3">
      <c r="A715">
        <v>1015</v>
      </c>
      <c r="B715" t="s">
        <v>2282</v>
      </c>
      <c r="C715">
        <v>29</v>
      </c>
      <c r="D715" t="s">
        <v>56</v>
      </c>
      <c r="E715" s="3">
        <v>45819</v>
      </c>
      <c r="F715" s="3">
        <v>45475</v>
      </c>
      <c r="G715" t="s">
        <v>2283</v>
      </c>
      <c r="H715" t="s">
        <v>13</v>
      </c>
      <c r="I715" t="s">
        <v>2284</v>
      </c>
      <c r="J715" t="s">
        <v>21</v>
      </c>
      <c r="K715" t="str">
        <f t="shared" si="66"/>
        <v>Oscar Hunt</v>
      </c>
      <c r="L715" t="str">
        <f t="shared" si="67"/>
        <v>Male</v>
      </c>
      <c r="M715" t="str">
        <f t="shared" si="68"/>
        <v>Michael Mason</v>
      </c>
      <c r="N715" s="4" t="str">
        <f t="shared" si="69"/>
        <v>Cardiology</v>
      </c>
      <c r="O715" s="6">
        <f t="shared" si="70"/>
        <v>363.04</v>
      </c>
      <c r="P715" s="4" t="str">
        <f t="shared" si="71"/>
        <v>Yes</v>
      </c>
      <c r="Q715" s="4" t="str">
        <f>IF(OR(A715="",C715="",L715="Missing",M715="Missing",O715="0.00",K715="Missing"),"Review","OK")</f>
        <v>OK</v>
      </c>
    </row>
    <row r="716" spans="1:17" x14ac:dyDescent="0.3">
      <c r="A716">
        <v>1024</v>
      </c>
      <c r="B716" t="s">
        <v>2285</v>
      </c>
      <c r="C716">
        <v>22</v>
      </c>
      <c r="E716" s="3">
        <v>45937</v>
      </c>
      <c r="F716" s="3" t="s">
        <v>2286</v>
      </c>
      <c r="G716" t="s">
        <v>2287</v>
      </c>
      <c r="H716" t="s">
        <v>25</v>
      </c>
      <c r="I716" t="s">
        <v>2288</v>
      </c>
      <c r="J716">
        <v>0</v>
      </c>
      <c r="K716" t="str">
        <f t="shared" si="66"/>
        <v>Tristan Booth</v>
      </c>
      <c r="L716" t="str">
        <f t="shared" si="67"/>
        <v>Missing</v>
      </c>
      <c r="M716" t="str">
        <f t="shared" si="68"/>
        <v>Alicia Hall</v>
      </c>
      <c r="N716" s="4" t="str">
        <f t="shared" si="69"/>
        <v>Neurology</v>
      </c>
      <c r="O716" s="6">
        <f t="shared" si="70"/>
        <v>477.72</v>
      </c>
      <c r="P716" s="4" t="str">
        <f t="shared" si="71"/>
        <v>No</v>
      </c>
      <c r="Q716" s="4" t="str">
        <f>IF(OR(A716="",C716="",L716="Missing",M716="Missing",O716="0.00",K716="Missing"),"Review","OK")</f>
        <v>Review</v>
      </c>
    </row>
    <row r="717" spans="1:17" x14ac:dyDescent="0.3">
      <c r="A717">
        <v>1013</v>
      </c>
      <c r="B717" t="s">
        <v>2289</v>
      </c>
      <c r="C717">
        <v>69</v>
      </c>
      <c r="D717" t="s">
        <v>76</v>
      </c>
      <c r="E717" s="3">
        <v>46043</v>
      </c>
      <c r="F717" s="3">
        <v>45297</v>
      </c>
      <c r="G717" t="s">
        <v>2290</v>
      </c>
      <c r="H717" t="s">
        <v>29</v>
      </c>
      <c r="I717" t="s">
        <v>2291</v>
      </c>
      <c r="J717">
        <v>1</v>
      </c>
      <c r="K717" t="str">
        <f t="shared" si="66"/>
        <v>Ashlee Warren</v>
      </c>
      <c r="L717" t="str">
        <f t="shared" si="67"/>
        <v>Male</v>
      </c>
      <c r="M717" t="str">
        <f t="shared" si="68"/>
        <v>Cynthia Cruz</v>
      </c>
      <c r="N717" s="4" t="str">
        <f t="shared" si="69"/>
        <v>General</v>
      </c>
      <c r="O717" s="6">
        <f t="shared" si="70"/>
        <v>289.74</v>
      </c>
      <c r="P717" s="4" t="str">
        <f t="shared" si="71"/>
        <v>Yes</v>
      </c>
      <c r="Q717" s="4" t="str">
        <f>IF(OR(A717="",C717="",L717="Missing",M717="Missing",O717="0.00",K717="Missing"),"Review","OK")</f>
        <v>OK</v>
      </c>
    </row>
    <row r="718" spans="1:17" x14ac:dyDescent="0.3">
      <c r="A718">
        <v>1024</v>
      </c>
      <c r="B718" t="s">
        <v>2292</v>
      </c>
      <c r="C718">
        <v>35</v>
      </c>
      <c r="D718" t="s">
        <v>23</v>
      </c>
      <c r="E718" s="3">
        <v>45886</v>
      </c>
      <c r="F718" s="3">
        <v>45816</v>
      </c>
      <c r="G718" t="s">
        <v>2293</v>
      </c>
      <c r="H718" t="s">
        <v>25</v>
      </c>
      <c r="I718" t="s">
        <v>2294</v>
      </c>
      <c r="J718">
        <v>1</v>
      </c>
      <c r="K718" t="str">
        <f t="shared" si="66"/>
        <v>Alexander Vega</v>
      </c>
      <c r="L718" t="str">
        <f t="shared" si="67"/>
        <v>Male</v>
      </c>
      <c r="M718" t="str">
        <f t="shared" si="68"/>
        <v>Karen Gomez</v>
      </c>
      <c r="N718" s="4" t="str">
        <f t="shared" si="69"/>
        <v>Neurology</v>
      </c>
      <c r="O718" s="6">
        <f t="shared" si="70"/>
        <v>270.14999999999998</v>
      </c>
      <c r="P718" s="4" t="str">
        <f t="shared" si="71"/>
        <v>Yes</v>
      </c>
      <c r="Q718" s="4" t="str">
        <f>IF(OR(A718="",C718="",L718="Missing",M718="Missing",O718="0.00",K718="Missing"),"Review","OK")</f>
        <v>OK</v>
      </c>
    </row>
    <row r="719" spans="1:17" x14ac:dyDescent="0.3">
      <c r="A719">
        <v>1061</v>
      </c>
      <c r="B719" t="s">
        <v>2295</v>
      </c>
      <c r="C719">
        <v>59</v>
      </c>
      <c r="D719" t="s">
        <v>16</v>
      </c>
      <c r="E719" s="3">
        <v>46001</v>
      </c>
      <c r="F719" s="3">
        <v>45823</v>
      </c>
      <c r="G719" t="s">
        <v>2296</v>
      </c>
      <c r="H719" t="s">
        <v>19</v>
      </c>
      <c r="I719" t="s">
        <v>2297</v>
      </c>
      <c r="J719" t="s">
        <v>21</v>
      </c>
      <c r="K719" t="str">
        <f t="shared" si="66"/>
        <v>Breanna Lewis</v>
      </c>
      <c r="L719" t="str">
        <f t="shared" si="67"/>
        <v>Female</v>
      </c>
      <c r="M719" t="str">
        <f t="shared" si="68"/>
        <v>Jerry Tucker</v>
      </c>
      <c r="N719" s="4" t="str">
        <f t="shared" si="69"/>
        <v>Orthopedics</v>
      </c>
      <c r="O719" s="6">
        <f t="shared" si="70"/>
        <v>155.97999999999999</v>
      </c>
      <c r="P719" s="4" t="str">
        <f t="shared" si="71"/>
        <v>Yes</v>
      </c>
      <c r="Q719" s="4" t="str">
        <f>IF(OR(A719="",C719="",L719="Missing",M719="Missing",O719="0.00",K719="Missing"),"Review","OK")</f>
        <v>OK</v>
      </c>
    </row>
    <row r="720" spans="1:17" x14ac:dyDescent="0.3">
      <c r="A720">
        <v>1095</v>
      </c>
      <c r="B720" t="s">
        <v>2298</v>
      </c>
      <c r="C720">
        <v>56</v>
      </c>
      <c r="D720">
        <v>1</v>
      </c>
      <c r="E720" s="3">
        <v>45812</v>
      </c>
      <c r="F720" s="3">
        <v>45441</v>
      </c>
      <c r="G720" t="s">
        <v>2299</v>
      </c>
      <c r="H720" t="s">
        <v>13</v>
      </c>
      <c r="I720" t="s">
        <v>2300</v>
      </c>
      <c r="J720" t="s">
        <v>21</v>
      </c>
      <c r="K720" t="str">
        <f t="shared" si="66"/>
        <v>Jackie Lane</v>
      </c>
      <c r="L720" t="str">
        <f t="shared" si="67"/>
        <v>Female</v>
      </c>
      <c r="M720" t="str">
        <f t="shared" si="68"/>
        <v>Jackie Harper</v>
      </c>
      <c r="N720" s="4" t="str">
        <f t="shared" si="69"/>
        <v>Cardiology</v>
      </c>
      <c r="O720" s="6">
        <f t="shared" si="70"/>
        <v>335.27</v>
      </c>
      <c r="P720" s="4" t="str">
        <f t="shared" si="71"/>
        <v>Yes</v>
      </c>
      <c r="Q720" s="4" t="str">
        <f>IF(OR(A720="",C720="",L720="Missing",M720="Missing",O720="0.00",K720="Missing"),"Review","OK")</f>
        <v>OK</v>
      </c>
    </row>
    <row r="721" spans="1:17" x14ac:dyDescent="0.3">
      <c r="A721">
        <v>1048</v>
      </c>
      <c r="B721" t="s">
        <v>2301</v>
      </c>
      <c r="C721">
        <v>67</v>
      </c>
      <c r="D721" t="s">
        <v>56</v>
      </c>
      <c r="E721" s="3" t="s">
        <v>2302</v>
      </c>
      <c r="F721" s="3" t="s">
        <v>1923</v>
      </c>
      <c r="G721" t="s">
        <v>2303</v>
      </c>
      <c r="H721" t="s">
        <v>25</v>
      </c>
      <c r="I721" t="s">
        <v>2304</v>
      </c>
      <c r="J721" t="s">
        <v>31</v>
      </c>
      <c r="K721" t="str">
        <f t="shared" si="66"/>
        <v>Shawn Cordova</v>
      </c>
      <c r="L721" t="str">
        <f t="shared" si="67"/>
        <v>Male</v>
      </c>
      <c r="M721" t="str">
        <f t="shared" si="68"/>
        <v>Wendy Mcguire</v>
      </c>
      <c r="N721" s="4" t="str">
        <f t="shared" si="69"/>
        <v>Neurology</v>
      </c>
      <c r="O721" s="6">
        <f t="shared" si="70"/>
        <v>285.22000000000003</v>
      </c>
      <c r="P721" s="4" t="str">
        <f t="shared" si="71"/>
        <v>No</v>
      </c>
      <c r="Q721" s="4" t="str">
        <f>IF(OR(A721="",C721="",L721="Missing",M721="Missing",O721="0.00",K721="Missing"),"Review","OK")</f>
        <v>OK</v>
      </c>
    </row>
    <row r="722" spans="1:17" x14ac:dyDescent="0.3">
      <c r="A722">
        <v>1033</v>
      </c>
      <c r="B722" t="s">
        <v>2305</v>
      </c>
      <c r="C722">
        <v>64</v>
      </c>
      <c r="D722" t="s">
        <v>16</v>
      </c>
      <c r="E722" s="3">
        <v>45916</v>
      </c>
      <c r="F722" s="3">
        <v>45680</v>
      </c>
      <c r="G722" t="s">
        <v>2306</v>
      </c>
      <c r="H722" t="s">
        <v>29</v>
      </c>
      <c r="I722" t="s">
        <v>2307</v>
      </c>
      <c r="J722">
        <v>1</v>
      </c>
      <c r="K722" t="str">
        <f t="shared" si="66"/>
        <v>Christina Macdonald</v>
      </c>
      <c r="L722" t="str">
        <f t="shared" si="67"/>
        <v>Female</v>
      </c>
      <c r="M722" t="str">
        <f t="shared" si="68"/>
        <v>Samuel Ramirez</v>
      </c>
      <c r="N722" s="4" t="str">
        <f t="shared" si="69"/>
        <v>General</v>
      </c>
      <c r="O722" s="6">
        <f t="shared" si="70"/>
        <v>91.36</v>
      </c>
      <c r="P722" s="4" t="str">
        <f t="shared" si="71"/>
        <v>Yes</v>
      </c>
      <c r="Q722" s="4" t="str">
        <f>IF(OR(A722="",C722="",L722="Missing",M722="Missing",O722="0.00",K722="Missing"),"Review","OK")</f>
        <v>OK</v>
      </c>
    </row>
    <row r="723" spans="1:17" x14ac:dyDescent="0.3">
      <c r="A723">
        <v>1085</v>
      </c>
      <c r="B723" t="s">
        <v>2308</v>
      </c>
      <c r="C723">
        <v>22</v>
      </c>
      <c r="D723" t="s">
        <v>11</v>
      </c>
      <c r="E723" s="3">
        <v>45932</v>
      </c>
      <c r="F723" s="3">
        <v>45754</v>
      </c>
      <c r="G723" t="s">
        <v>2309</v>
      </c>
      <c r="H723" t="s">
        <v>29</v>
      </c>
      <c r="I723" t="s">
        <v>2310</v>
      </c>
      <c r="J723">
        <v>0</v>
      </c>
      <c r="K723" t="str">
        <f t="shared" si="66"/>
        <v>Dylan Jones</v>
      </c>
      <c r="L723" t="str">
        <f t="shared" si="67"/>
        <v>Female</v>
      </c>
      <c r="M723" t="str">
        <f t="shared" si="68"/>
        <v>Katherine Small</v>
      </c>
      <c r="N723" s="4" t="str">
        <f t="shared" si="69"/>
        <v>General</v>
      </c>
      <c r="O723" s="6">
        <f t="shared" si="70"/>
        <v>498.58</v>
      </c>
      <c r="P723" s="4" t="str">
        <f t="shared" si="71"/>
        <v>No</v>
      </c>
      <c r="Q723" s="4" t="str">
        <f>IF(OR(A723="",C723="",L723="Missing",M723="Missing",O723="0.00",K723="Missing"),"Review","OK")</f>
        <v>OK</v>
      </c>
    </row>
    <row r="724" spans="1:17" x14ac:dyDescent="0.3">
      <c r="A724">
        <v>1003</v>
      </c>
      <c r="B724" t="s">
        <v>2311</v>
      </c>
      <c r="C724">
        <v>89</v>
      </c>
      <c r="D724" t="s">
        <v>41</v>
      </c>
      <c r="E724" s="3">
        <v>46013</v>
      </c>
      <c r="F724" s="3">
        <v>45724</v>
      </c>
      <c r="G724" t="s">
        <v>2312</v>
      </c>
      <c r="H724" t="s">
        <v>29</v>
      </c>
      <c r="I724" t="s">
        <v>2313</v>
      </c>
      <c r="J724" t="s">
        <v>39</v>
      </c>
      <c r="K724" t="str">
        <f t="shared" si="66"/>
        <v>Christine Herring</v>
      </c>
      <c r="L724" t="str">
        <f t="shared" si="67"/>
        <v>Female</v>
      </c>
      <c r="M724" t="str">
        <f t="shared" si="68"/>
        <v>Kristin Hartman</v>
      </c>
      <c r="N724" s="4" t="str">
        <f t="shared" si="69"/>
        <v>General</v>
      </c>
      <c r="O724" s="6">
        <f t="shared" si="70"/>
        <v>453.73</v>
      </c>
      <c r="P724" s="4" t="str">
        <f t="shared" si="71"/>
        <v>Yes</v>
      </c>
      <c r="Q724" s="4" t="str">
        <f>IF(OR(A724="",C724="",L724="Missing",M724="Missing",O724="0.00",K724="Missing"),"Review","OK")</f>
        <v>OK</v>
      </c>
    </row>
    <row r="725" spans="1:17" x14ac:dyDescent="0.3">
      <c r="A725">
        <v>1030</v>
      </c>
      <c r="B725" t="s">
        <v>2314</v>
      </c>
      <c r="C725">
        <v>72</v>
      </c>
      <c r="D725" t="s">
        <v>16</v>
      </c>
      <c r="E725" s="3">
        <v>45935</v>
      </c>
      <c r="F725" s="3" t="s">
        <v>2315</v>
      </c>
      <c r="G725" t="s">
        <v>1329</v>
      </c>
      <c r="H725" t="s">
        <v>25</v>
      </c>
      <c r="I725" t="s">
        <v>2316</v>
      </c>
      <c r="J725" t="s">
        <v>31</v>
      </c>
      <c r="K725" t="str">
        <f t="shared" si="66"/>
        <v>Brandon Carter</v>
      </c>
      <c r="L725" t="str">
        <f t="shared" si="67"/>
        <v>Female</v>
      </c>
      <c r="M725" t="str">
        <f t="shared" si="68"/>
        <v>James Aguilar</v>
      </c>
      <c r="N725" s="4" t="str">
        <f t="shared" si="69"/>
        <v>Neurology</v>
      </c>
      <c r="O725" s="6">
        <f t="shared" si="70"/>
        <v>218.54</v>
      </c>
      <c r="P725" s="4" t="str">
        <f t="shared" si="71"/>
        <v>No</v>
      </c>
      <c r="Q725" s="4" t="str">
        <f>IF(OR(A725="",C725="",L725="Missing",M725="Missing",O725="0.00",K725="Missing"),"Review","OK")</f>
        <v>OK</v>
      </c>
    </row>
    <row r="726" spans="1:17" x14ac:dyDescent="0.3">
      <c r="A726">
        <v>1083</v>
      </c>
      <c r="B726" t="s">
        <v>2317</v>
      </c>
      <c r="C726">
        <v>40</v>
      </c>
      <c r="D726" t="s">
        <v>11</v>
      </c>
      <c r="E726" s="3">
        <v>45788</v>
      </c>
      <c r="F726" s="3">
        <v>45519</v>
      </c>
      <c r="G726" t="s">
        <v>2318</v>
      </c>
      <c r="H726" t="s">
        <v>19</v>
      </c>
      <c r="I726" t="s">
        <v>2319</v>
      </c>
      <c r="J726">
        <v>0</v>
      </c>
      <c r="K726" t="str">
        <f t="shared" si="66"/>
        <v>Lori Dean</v>
      </c>
      <c r="L726" t="str">
        <f t="shared" si="67"/>
        <v>Female</v>
      </c>
      <c r="M726" t="str">
        <f t="shared" si="68"/>
        <v>Theresa Williams</v>
      </c>
      <c r="N726" s="4" t="str">
        <f t="shared" si="69"/>
        <v>Orthopedics</v>
      </c>
      <c r="O726" s="6">
        <f t="shared" si="70"/>
        <v>312.26</v>
      </c>
      <c r="P726" s="4" t="str">
        <f t="shared" si="71"/>
        <v>No</v>
      </c>
      <c r="Q726" s="4" t="str">
        <f>IF(OR(A726="",C726="",L726="Missing",M726="Missing",O726="0.00",K726="Missing"),"Review","OK")</f>
        <v>OK</v>
      </c>
    </row>
    <row r="727" spans="1:17" x14ac:dyDescent="0.3">
      <c r="A727">
        <v>1004</v>
      </c>
      <c r="B727" t="s">
        <v>2320</v>
      </c>
      <c r="C727">
        <v>36</v>
      </c>
      <c r="D727">
        <v>0</v>
      </c>
      <c r="E727" s="3" t="s">
        <v>2321</v>
      </c>
      <c r="F727" s="3">
        <v>45595</v>
      </c>
      <c r="G727" t="s">
        <v>2322</v>
      </c>
      <c r="H727" t="s">
        <v>13</v>
      </c>
      <c r="I727" t="s">
        <v>2323</v>
      </c>
      <c r="J727" t="s">
        <v>39</v>
      </c>
      <c r="K727" t="str">
        <f t="shared" si="66"/>
        <v>Deborah Robinson</v>
      </c>
      <c r="L727" t="str">
        <f t="shared" si="67"/>
        <v>Male</v>
      </c>
      <c r="M727" t="str">
        <f t="shared" si="68"/>
        <v>Joseph Bell</v>
      </c>
      <c r="N727" s="4" t="str">
        <f t="shared" si="69"/>
        <v>Cardiology</v>
      </c>
      <c r="O727" s="6">
        <f t="shared" si="70"/>
        <v>159.21</v>
      </c>
      <c r="P727" s="4" t="str">
        <f t="shared" si="71"/>
        <v>Yes</v>
      </c>
      <c r="Q727" s="4" t="str">
        <f>IF(OR(A727="",C727="",L727="Missing",M727="Missing",O727="0.00",K727="Missing"),"Review","OK")</f>
        <v>OK</v>
      </c>
    </row>
    <row r="728" spans="1:17" x14ac:dyDescent="0.3">
      <c r="A728">
        <v>1051</v>
      </c>
      <c r="B728" t="s">
        <v>2324</v>
      </c>
      <c r="C728">
        <v>71</v>
      </c>
      <c r="D728" t="s">
        <v>41</v>
      </c>
      <c r="E728" s="3" t="s">
        <v>581</v>
      </c>
      <c r="F728" s="3">
        <v>45723</v>
      </c>
      <c r="G728" t="s">
        <v>2325</v>
      </c>
      <c r="H728" t="s">
        <v>13</v>
      </c>
      <c r="I728" t="s">
        <v>2326</v>
      </c>
      <c r="J728">
        <v>1</v>
      </c>
      <c r="K728" t="str">
        <f t="shared" si="66"/>
        <v>Jason Tate</v>
      </c>
      <c r="L728" t="str">
        <f t="shared" si="67"/>
        <v>Female</v>
      </c>
      <c r="M728" t="str">
        <f t="shared" si="68"/>
        <v>Kimberly Young</v>
      </c>
      <c r="N728" s="4" t="str">
        <f t="shared" si="69"/>
        <v>Cardiology</v>
      </c>
      <c r="O728" s="6">
        <f t="shared" si="70"/>
        <v>484.79</v>
      </c>
      <c r="P728" s="4" t="str">
        <f t="shared" si="71"/>
        <v>Yes</v>
      </c>
      <c r="Q728" s="4" t="str">
        <f>IF(OR(A728="",C728="",L728="Missing",M728="Missing",O728="0.00",K728="Missing"),"Review","OK")</f>
        <v>OK</v>
      </c>
    </row>
    <row r="729" spans="1:17" x14ac:dyDescent="0.3">
      <c r="A729">
        <v>1059</v>
      </c>
      <c r="B729" t="s">
        <v>2327</v>
      </c>
      <c r="C729">
        <v>81</v>
      </c>
      <c r="D729" t="s">
        <v>41</v>
      </c>
      <c r="E729" s="3">
        <v>45744</v>
      </c>
      <c r="F729" s="3" t="s">
        <v>2328</v>
      </c>
      <c r="G729" t="s">
        <v>2329</v>
      </c>
      <c r="H729" t="s">
        <v>13</v>
      </c>
      <c r="I729" t="s">
        <v>2330</v>
      </c>
      <c r="J729" t="s">
        <v>31</v>
      </c>
      <c r="K729" t="str">
        <f t="shared" si="66"/>
        <v>Jill Mcconnell</v>
      </c>
      <c r="L729" t="str">
        <f t="shared" si="67"/>
        <v>Female</v>
      </c>
      <c r="M729" t="str">
        <f t="shared" si="68"/>
        <v>Jessica Miller</v>
      </c>
      <c r="N729" s="4" t="str">
        <f t="shared" si="69"/>
        <v>Cardiology</v>
      </c>
      <c r="O729" s="6">
        <f t="shared" si="70"/>
        <v>475.35</v>
      </c>
      <c r="P729" s="4" t="str">
        <f t="shared" si="71"/>
        <v>No</v>
      </c>
      <c r="Q729" s="4" t="str">
        <f>IF(OR(A729="",C729="",L729="Missing",M729="Missing",O729="0.00",K729="Missing"),"Review","OK")</f>
        <v>OK</v>
      </c>
    </row>
    <row r="730" spans="1:17" x14ac:dyDescent="0.3">
      <c r="A730">
        <v>1044</v>
      </c>
      <c r="B730" t="s">
        <v>2331</v>
      </c>
      <c r="C730">
        <v>21</v>
      </c>
      <c r="D730">
        <v>1</v>
      </c>
      <c r="E730" s="3" t="s">
        <v>802</v>
      </c>
      <c r="F730" s="3">
        <v>45559</v>
      </c>
      <c r="G730" t="s">
        <v>2332</v>
      </c>
      <c r="H730" t="s">
        <v>29</v>
      </c>
      <c r="I730" t="s">
        <v>2333</v>
      </c>
      <c r="J730" t="s">
        <v>21</v>
      </c>
      <c r="K730" t="str">
        <f t="shared" si="66"/>
        <v>Kyle Barnes Jr.</v>
      </c>
      <c r="L730" t="str">
        <f t="shared" si="67"/>
        <v>Female</v>
      </c>
      <c r="M730" t="str">
        <f t="shared" si="68"/>
        <v>Donna Peters</v>
      </c>
      <c r="N730" s="4" t="str">
        <f t="shared" si="69"/>
        <v>General</v>
      </c>
      <c r="O730" s="6">
        <f t="shared" si="70"/>
        <v>156.1</v>
      </c>
      <c r="P730" s="4" t="str">
        <f t="shared" si="71"/>
        <v>Yes</v>
      </c>
      <c r="Q730" s="4" t="str">
        <f>IF(OR(A730="",C730="",L730="Missing",M730="Missing",O730="0.00",K730="Missing"),"Review","OK")</f>
        <v>OK</v>
      </c>
    </row>
    <row r="731" spans="1:17" x14ac:dyDescent="0.3">
      <c r="A731">
        <v>1068</v>
      </c>
      <c r="B731" t="s">
        <v>2334</v>
      </c>
      <c r="C731">
        <v>87</v>
      </c>
      <c r="E731" s="3">
        <v>45899</v>
      </c>
      <c r="F731" s="3">
        <v>45641</v>
      </c>
      <c r="G731" t="s">
        <v>2335</v>
      </c>
      <c r="H731" t="s">
        <v>29</v>
      </c>
      <c r="I731" t="s">
        <v>2336</v>
      </c>
      <c r="J731" t="s">
        <v>65</v>
      </c>
      <c r="K731" t="str">
        <f t="shared" si="66"/>
        <v>Regina Smith</v>
      </c>
      <c r="L731" t="str">
        <f t="shared" si="67"/>
        <v>Missing</v>
      </c>
      <c r="M731" t="str">
        <f t="shared" si="68"/>
        <v>Donna Orr</v>
      </c>
      <c r="N731" s="4" t="str">
        <f t="shared" si="69"/>
        <v>General</v>
      </c>
      <c r="O731" s="6">
        <f t="shared" si="70"/>
        <v>246.13</v>
      </c>
      <c r="P731" s="4" t="str">
        <f t="shared" si="71"/>
        <v>No</v>
      </c>
      <c r="Q731" s="4" t="str">
        <f>IF(OR(A731="",C731="",L731="Missing",M731="Missing",O731="0.00",K731="Missing"),"Review","OK")</f>
        <v>Review</v>
      </c>
    </row>
    <row r="732" spans="1:17" x14ac:dyDescent="0.3">
      <c r="A732">
        <v>1024</v>
      </c>
      <c r="B732" t="s">
        <v>2337</v>
      </c>
      <c r="C732">
        <v>60</v>
      </c>
      <c r="D732" t="s">
        <v>11</v>
      </c>
      <c r="E732" s="3">
        <v>45858</v>
      </c>
      <c r="F732" s="3">
        <v>45617</v>
      </c>
      <c r="G732" t="s">
        <v>2338</v>
      </c>
      <c r="H732" t="s">
        <v>13</v>
      </c>
      <c r="I732" t="s">
        <v>2339</v>
      </c>
      <c r="J732" t="s">
        <v>31</v>
      </c>
      <c r="K732" t="str">
        <f t="shared" si="66"/>
        <v>Jeffrey Warren</v>
      </c>
      <c r="L732" t="str">
        <f t="shared" si="67"/>
        <v>Female</v>
      </c>
      <c r="M732" t="str">
        <f t="shared" si="68"/>
        <v>Mrs. Michelle Reed</v>
      </c>
      <c r="N732" s="4" t="str">
        <f t="shared" si="69"/>
        <v>Cardiology</v>
      </c>
      <c r="O732" s="6">
        <f t="shared" si="70"/>
        <v>340.54</v>
      </c>
      <c r="P732" s="4" t="str">
        <f t="shared" si="71"/>
        <v>No</v>
      </c>
      <c r="Q732" s="4" t="str">
        <f>IF(OR(A732="",C732="",L732="Missing",M732="Missing",O732="0.00",K732="Missing"),"Review","OK")</f>
        <v>OK</v>
      </c>
    </row>
    <row r="733" spans="1:17" x14ac:dyDescent="0.3">
      <c r="A733">
        <v>1010</v>
      </c>
      <c r="B733" t="s">
        <v>2340</v>
      </c>
      <c r="C733">
        <v>72</v>
      </c>
      <c r="D733" t="s">
        <v>16</v>
      </c>
      <c r="E733" s="3">
        <v>46069</v>
      </c>
      <c r="F733" s="3">
        <v>45480</v>
      </c>
      <c r="G733" t="s">
        <v>2341</v>
      </c>
      <c r="H733" t="s">
        <v>29</v>
      </c>
      <c r="I733" t="s">
        <v>2342</v>
      </c>
      <c r="J733" t="s">
        <v>31</v>
      </c>
      <c r="K733" t="str">
        <f t="shared" si="66"/>
        <v>Andre Crosby</v>
      </c>
      <c r="L733" t="str">
        <f t="shared" si="67"/>
        <v>Female</v>
      </c>
      <c r="M733" t="str">
        <f t="shared" si="68"/>
        <v>Douglas Smith</v>
      </c>
      <c r="N733" s="4" t="str">
        <f t="shared" si="69"/>
        <v>General</v>
      </c>
      <c r="O733" s="6">
        <f t="shared" si="70"/>
        <v>235.81</v>
      </c>
      <c r="P733" s="4" t="str">
        <f t="shared" si="71"/>
        <v>No</v>
      </c>
      <c r="Q733" s="4" t="str">
        <f>IF(OR(A733="",C733="",L733="Missing",M733="Missing",O733="0.00",K733="Missing"),"Review","OK")</f>
        <v>OK</v>
      </c>
    </row>
    <row r="734" spans="1:17" x14ac:dyDescent="0.3">
      <c r="A734">
        <v>1099</v>
      </c>
      <c r="B734" t="s">
        <v>2343</v>
      </c>
      <c r="C734">
        <v>25</v>
      </c>
      <c r="D734">
        <v>1</v>
      </c>
      <c r="E734" s="3">
        <v>45768</v>
      </c>
      <c r="F734" s="3">
        <v>45555</v>
      </c>
      <c r="G734" t="s">
        <v>2344</v>
      </c>
      <c r="H734" t="s">
        <v>13</v>
      </c>
      <c r="I734" t="s">
        <v>2345</v>
      </c>
      <c r="J734" t="s">
        <v>31</v>
      </c>
      <c r="K734" t="str">
        <f t="shared" si="66"/>
        <v>Jessica Maldonado Dds</v>
      </c>
      <c r="L734" t="str">
        <f t="shared" si="67"/>
        <v>Female</v>
      </c>
      <c r="M734" t="str">
        <f t="shared" si="68"/>
        <v>Kelly Thomas</v>
      </c>
      <c r="N734" s="4" t="str">
        <f t="shared" si="69"/>
        <v>Cardiology</v>
      </c>
      <c r="O734" s="6">
        <f t="shared" si="70"/>
        <v>166.21</v>
      </c>
      <c r="P734" s="4" t="str">
        <f t="shared" si="71"/>
        <v>No</v>
      </c>
      <c r="Q734" s="4" t="str">
        <f>IF(OR(A734="",C734="",L734="Missing",M734="Missing",O734="0.00",K734="Missing"),"Review","OK")</f>
        <v>OK</v>
      </c>
    </row>
    <row r="735" spans="1:17" x14ac:dyDescent="0.3">
      <c r="A735">
        <v>1060</v>
      </c>
      <c r="B735" t="s">
        <v>2346</v>
      </c>
      <c r="C735">
        <v>39</v>
      </c>
      <c r="D735" t="s">
        <v>76</v>
      </c>
      <c r="E735" s="3">
        <v>46031</v>
      </c>
      <c r="F735" s="3">
        <v>45828</v>
      </c>
      <c r="G735" t="s">
        <v>2347</v>
      </c>
      <c r="H735" t="s">
        <v>13</v>
      </c>
      <c r="I735" t="s">
        <v>2348</v>
      </c>
      <c r="J735">
        <v>0</v>
      </c>
      <c r="K735" t="str">
        <f t="shared" si="66"/>
        <v>Ian Bush</v>
      </c>
      <c r="L735" t="str">
        <f t="shared" si="67"/>
        <v>Male</v>
      </c>
      <c r="M735" t="str">
        <f t="shared" si="68"/>
        <v>Steven Welch</v>
      </c>
      <c r="N735" s="4" t="str">
        <f t="shared" si="69"/>
        <v>Cardiology</v>
      </c>
      <c r="O735" s="6">
        <f t="shared" si="70"/>
        <v>418.29</v>
      </c>
      <c r="P735" s="4" t="str">
        <f t="shared" si="71"/>
        <v>No</v>
      </c>
      <c r="Q735" s="4" t="str">
        <f>IF(OR(A735="",C735="",L735="Missing",M735="Missing",O735="0.00",K735="Missing"),"Review","OK")</f>
        <v>OK</v>
      </c>
    </row>
    <row r="736" spans="1:17" x14ac:dyDescent="0.3">
      <c r="A736">
        <v>1044</v>
      </c>
      <c r="B736" t="s">
        <v>2349</v>
      </c>
      <c r="C736">
        <v>63</v>
      </c>
      <c r="D736" t="s">
        <v>11</v>
      </c>
      <c r="E736" s="3">
        <v>45919</v>
      </c>
      <c r="F736" s="3">
        <v>45695</v>
      </c>
      <c r="G736" t="s">
        <v>2350</v>
      </c>
      <c r="H736" t="s">
        <v>29</v>
      </c>
      <c r="I736" t="s">
        <v>2351</v>
      </c>
      <c r="J736" t="s">
        <v>65</v>
      </c>
      <c r="K736" t="str">
        <f t="shared" si="66"/>
        <v>Nicole Warren</v>
      </c>
      <c r="L736" t="str">
        <f t="shared" si="67"/>
        <v>Female</v>
      </c>
      <c r="M736" t="str">
        <f t="shared" si="68"/>
        <v>Kimberly Beck</v>
      </c>
      <c r="N736" s="4" t="str">
        <f t="shared" si="69"/>
        <v>General</v>
      </c>
      <c r="O736" s="6">
        <f t="shared" si="70"/>
        <v>415.35</v>
      </c>
      <c r="P736" s="4" t="str">
        <f t="shared" si="71"/>
        <v>No</v>
      </c>
      <c r="Q736" s="4" t="str">
        <f>IF(OR(A736="",C736="",L736="Missing",M736="Missing",O736="0.00",K736="Missing"),"Review","OK")</f>
        <v>OK</v>
      </c>
    </row>
    <row r="737" spans="1:17" x14ac:dyDescent="0.3">
      <c r="A737">
        <v>1047</v>
      </c>
      <c r="B737" t="s">
        <v>2352</v>
      </c>
      <c r="C737">
        <v>33</v>
      </c>
      <c r="D737">
        <v>1</v>
      </c>
      <c r="E737" s="3" t="s">
        <v>341</v>
      </c>
      <c r="F737" s="3">
        <v>45328</v>
      </c>
      <c r="G737" t="s">
        <v>2353</v>
      </c>
      <c r="H737" t="s">
        <v>29</v>
      </c>
      <c r="I737" t="s">
        <v>2354</v>
      </c>
      <c r="J737">
        <v>1</v>
      </c>
      <c r="K737" t="str">
        <f t="shared" si="66"/>
        <v>Dennis Jacobs</v>
      </c>
      <c r="L737" t="str">
        <f t="shared" si="67"/>
        <v>Female</v>
      </c>
      <c r="M737" t="str">
        <f t="shared" si="68"/>
        <v>Katherine Long</v>
      </c>
      <c r="N737" s="4" t="str">
        <f t="shared" si="69"/>
        <v>General</v>
      </c>
      <c r="O737" s="6">
        <f t="shared" si="70"/>
        <v>307.29000000000002</v>
      </c>
      <c r="P737" s="4" t="str">
        <f t="shared" si="71"/>
        <v>Yes</v>
      </c>
      <c r="Q737" s="4" t="str">
        <f>IF(OR(A737="",C737="",L737="Missing",M737="Missing",O737="0.00",K737="Missing"),"Review","OK")</f>
        <v>OK</v>
      </c>
    </row>
    <row r="738" spans="1:17" x14ac:dyDescent="0.3">
      <c r="A738">
        <v>1063</v>
      </c>
      <c r="B738" t="s">
        <v>2355</v>
      </c>
      <c r="C738">
        <v>88</v>
      </c>
      <c r="D738" t="s">
        <v>41</v>
      </c>
      <c r="E738" s="3">
        <v>45759</v>
      </c>
      <c r="F738" s="3">
        <v>45941</v>
      </c>
      <c r="G738" t="s">
        <v>2356</v>
      </c>
      <c r="H738" t="s">
        <v>19</v>
      </c>
      <c r="I738" t="s">
        <v>2357</v>
      </c>
      <c r="J738" t="s">
        <v>31</v>
      </c>
      <c r="K738" t="str">
        <f t="shared" si="66"/>
        <v>Edward Black</v>
      </c>
      <c r="L738" t="str">
        <f t="shared" si="67"/>
        <v>Female</v>
      </c>
      <c r="M738" t="str">
        <f t="shared" si="68"/>
        <v>Nathan Summers</v>
      </c>
      <c r="N738" s="4" t="str">
        <f t="shared" si="69"/>
        <v>Orthopedics</v>
      </c>
      <c r="O738" s="6">
        <f t="shared" si="70"/>
        <v>268.75</v>
      </c>
      <c r="P738" s="4" t="str">
        <f t="shared" si="71"/>
        <v>No</v>
      </c>
      <c r="Q738" s="4" t="str">
        <f>IF(OR(A738="",C738="",L738="Missing",M738="Missing",O738="0.00",K738="Missing"),"Review","OK")</f>
        <v>OK</v>
      </c>
    </row>
    <row r="739" spans="1:17" x14ac:dyDescent="0.3">
      <c r="A739">
        <v>1036</v>
      </c>
      <c r="B739" t="s">
        <v>2358</v>
      </c>
      <c r="C739">
        <v>44</v>
      </c>
      <c r="D739">
        <v>1</v>
      </c>
      <c r="E739" s="3">
        <v>45943</v>
      </c>
      <c r="F739" s="3">
        <v>45459</v>
      </c>
      <c r="G739" t="s">
        <v>2359</v>
      </c>
      <c r="H739" t="s">
        <v>19</v>
      </c>
      <c r="I739" t="s">
        <v>2360</v>
      </c>
      <c r="J739">
        <v>1</v>
      </c>
      <c r="K739" t="str">
        <f t="shared" si="66"/>
        <v>Suzanne Jenkins</v>
      </c>
      <c r="L739" t="str">
        <f t="shared" si="67"/>
        <v>Female</v>
      </c>
      <c r="M739" t="str">
        <f t="shared" si="68"/>
        <v>Maureen Jacobson</v>
      </c>
      <c r="N739" s="4" t="str">
        <f t="shared" si="69"/>
        <v>Orthopedics</v>
      </c>
      <c r="O739" s="6">
        <f t="shared" si="70"/>
        <v>248.97</v>
      </c>
      <c r="P739" s="4" t="str">
        <f t="shared" si="71"/>
        <v>Yes</v>
      </c>
      <c r="Q739" s="4" t="str">
        <f>IF(OR(A739="",C739="",L739="Missing",M739="Missing",O739="0.00",K739="Missing"),"Review","OK")</f>
        <v>OK</v>
      </c>
    </row>
    <row r="740" spans="1:17" x14ac:dyDescent="0.3">
      <c r="A740">
        <v>1002</v>
      </c>
      <c r="B740" t="s">
        <v>2361</v>
      </c>
      <c r="C740">
        <v>28</v>
      </c>
      <c r="D740">
        <v>0</v>
      </c>
      <c r="E740" s="3">
        <v>45694</v>
      </c>
      <c r="F740" s="3">
        <v>45464</v>
      </c>
      <c r="G740" t="s">
        <v>2362</v>
      </c>
      <c r="H740" t="s">
        <v>25</v>
      </c>
      <c r="I740" t="s">
        <v>2363</v>
      </c>
      <c r="J740">
        <v>0</v>
      </c>
      <c r="K740" t="str">
        <f t="shared" si="66"/>
        <v>Lindsey Green</v>
      </c>
      <c r="L740" t="str">
        <f t="shared" si="67"/>
        <v>Male</v>
      </c>
      <c r="M740" t="str">
        <f t="shared" si="68"/>
        <v>James Fleming</v>
      </c>
      <c r="N740" s="4" t="str">
        <f t="shared" si="69"/>
        <v>Neurology</v>
      </c>
      <c r="O740" s="6">
        <f t="shared" si="70"/>
        <v>270.70999999999998</v>
      </c>
      <c r="P740" s="4" t="str">
        <f t="shared" si="71"/>
        <v>No</v>
      </c>
      <c r="Q740" s="4" t="str">
        <f>IF(OR(A740="",C740="",L740="Missing",M740="Missing",O740="0.00",K740="Missing"),"Review","OK")</f>
        <v>OK</v>
      </c>
    </row>
    <row r="741" spans="1:17" x14ac:dyDescent="0.3">
      <c r="A741">
        <v>1075</v>
      </c>
      <c r="B741" t="s">
        <v>2364</v>
      </c>
      <c r="C741">
        <v>25</v>
      </c>
      <c r="D741" t="s">
        <v>11</v>
      </c>
      <c r="E741" s="3">
        <v>45725</v>
      </c>
      <c r="F741" s="3">
        <v>45592</v>
      </c>
      <c r="G741" t="s">
        <v>2365</v>
      </c>
      <c r="H741" t="s">
        <v>19</v>
      </c>
      <c r="I741" t="s">
        <v>2366</v>
      </c>
      <c r="J741" t="s">
        <v>21</v>
      </c>
      <c r="K741" t="str">
        <f t="shared" si="66"/>
        <v>Sarah Hernandez</v>
      </c>
      <c r="L741" t="str">
        <f t="shared" si="67"/>
        <v>Female</v>
      </c>
      <c r="M741" t="str">
        <f t="shared" si="68"/>
        <v>Jeremy Mclaughlin</v>
      </c>
      <c r="N741" s="4" t="str">
        <f t="shared" si="69"/>
        <v>Orthopedics</v>
      </c>
      <c r="O741" s="6">
        <f t="shared" si="70"/>
        <v>253.36</v>
      </c>
      <c r="P741" s="4" t="str">
        <f t="shared" si="71"/>
        <v>Yes</v>
      </c>
      <c r="Q741" s="4" t="str">
        <f>IF(OR(A741="",C741="",L741="Missing",M741="Missing",O741="0.00",K741="Missing"),"Review","OK")</f>
        <v>OK</v>
      </c>
    </row>
    <row r="742" spans="1:17" x14ac:dyDescent="0.3">
      <c r="A742">
        <v>1090</v>
      </c>
      <c r="B742" t="s">
        <v>2367</v>
      </c>
      <c r="C742">
        <v>85</v>
      </c>
      <c r="D742" t="s">
        <v>56</v>
      </c>
      <c r="E742" s="3">
        <v>46042</v>
      </c>
      <c r="F742" s="3">
        <v>45726</v>
      </c>
      <c r="G742" t="s">
        <v>2368</v>
      </c>
      <c r="H742" t="s">
        <v>25</v>
      </c>
      <c r="I742" t="s">
        <v>2369</v>
      </c>
      <c r="J742" t="s">
        <v>31</v>
      </c>
      <c r="K742" t="str">
        <f t="shared" si="66"/>
        <v>Christina Eaton</v>
      </c>
      <c r="L742" t="str">
        <f t="shared" si="67"/>
        <v>Male</v>
      </c>
      <c r="M742" t="str">
        <f t="shared" si="68"/>
        <v>Stephanie Kelley Dvm</v>
      </c>
      <c r="N742" s="4" t="str">
        <f t="shared" si="69"/>
        <v>Neurology</v>
      </c>
      <c r="O742" s="6">
        <f t="shared" si="70"/>
        <v>192.87</v>
      </c>
      <c r="P742" s="4" t="str">
        <f t="shared" si="71"/>
        <v>No</v>
      </c>
      <c r="Q742" s="4" t="str">
        <f>IF(OR(A742="",C742="",L742="Missing",M742="Missing",O742="0.00",K742="Missing"),"Review","OK")</f>
        <v>OK</v>
      </c>
    </row>
    <row r="743" spans="1:17" x14ac:dyDescent="0.3">
      <c r="A743">
        <v>1000</v>
      </c>
      <c r="B743" t="s">
        <v>2370</v>
      </c>
      <c r="C743">
        <v>18</v>
      </c>
      <c r="D743" t="s">
        <v>56</v>
      </c>
      <c r="E743" s="3" t="s">
        <v>184</v>
      </c>
      <c r="F743" s="3">
        <v>45757</v>
      </c>
      <c r="G743" t="s">
        <v>2371</v>
      </c>
      <c r="H743" t="s">
        <v>19</v>
      </c>
      <c r="I743" t="s">
        <v>2372</v>
      </c>
      <c r="J743">
        <v>0</v>
      </c>
      <c r="K743" t="str">
        <f t="shared" si="66"/>
        <v>Angela Rogers</v>
      </c>
      <c r="L743" t="str">
        <f t="shared" si="67"/>
        <v>Male</v>
      </c>
      <c r="M743" t="str">
        <f t="shared" si="68"/>
        <v>Dr. Brian Smith</v>
      </c>
      <c r="N743" s="4" t="str">
        <f t="shared" si="69"/>
        <v>Orthopedics</v>
      </c>
      <c r="O743" s="6">
        <f t="shared" si="70"/>
        <v>362.08</v>
      </c>
      <c r="P743" s="4" t="str">
        <f t="shared" si="71"/>
        <v>No</v>
      </c>
      <c r="Q743" s="4" t="str">
        <f>IF(OR(A743="",C743="",L743="Missing",M743="Missing",O743="0.00",K743="Missing"),"Review","OK")</f>
        <v>OK</v>
      </c>
    </row>
    <row r="744" spans="1:17" x14ac:dyDescent="0.3">
      <c r="A744">
        <v>1073</v>
      </c>
      <c r="B744" t="s">
        <v>2373</v>
      </c>
      <c r="C744">
        <v>75</v>
      </c>
      <c r="E744" s="3">
        <v>46028</v>
      </c>
      <c r="F744" s="3">
        <v>45710</v>
      </c>
      <c r="G744" t="s">
        <v>2374</v>
      </c>
      <c r="H744" t="s">
        <v>29</v>
      </c>
      <c r="I744" t="s">
        <v>2375</v>
      </c>
      <c r="J744" t="s">
        <v>65</v>
      </c>
      <c r="K744" t="str">
        <f t="shared" si="66"/>
        <v>Molly Hayden</v>
      </c>
      <c r="L744" t="str">
        <f t="shared" si="67"/>
        <v>Missing</v>
      </c>
      <c r="M744" t="str">
        <f t="shared" si="68"/>
        <v>Brian Chambers</v>
      </c>
      <c r="N744" s="4" t="str">
        <f t="shared" si="69"/>
        <v>General</v>
      </c>
      <c r="O744" s="6">
        <f t="shared" si="70"/>
        <v>306.62</v>
      </c>
      <c r="P744" s="4" t="str">
        <f t="shared" si="71"/>
        <v>No</v>
      </c>
      <c r="Q744" s="4" t="str">
        <f>IF(OR(A744="",C744="",L744="Missing",M744="Missing",O744="0.00",K744="Missing"),"Review","OK")</f>
        <v>Review</v>
      </c>
    </row>
    <row r="745" spans="1:17" x14ac:dyDescent="0.3">
      <c r="A745">
        <v>1075</v>
      </c>
      <c r="B745" t="s">
        <v>2376</v>
      </c>
      <c r="C745">
        <v>73</v>
      </c>
      <c r="D745">
        <v>1</v>
      </c>
      <c r="E745" s="3">
        <v>45752</v>
      </c>
      <c r="F745" s="3">
        <v>45646</v>
      </c>
      <c r="G745" t="s">
        <v>2377</v>
      </c>
      <c r="H745" t="s">
        <v>25</v>
      </c>
      <c r="I745" t="s">
        <v>2378</v>
      </c>
      <c r="J745">
        <v>0</v>
      </c>
      <c r="K745" t="str">
        <f t="shared" si="66"/>
        <v>Brian Clarke</v>
      </c>
      <c r="L745" t="str">
        <f t="shared" si="67"/>
        <v>Female</v>
      </c>
      <c r="M745" t="str">
        <f t="shared" si="68"/>
        <v>Amanda Hoffman</v>
      </c>
      <c r="N745" s="4" t="str">
        <f t="shared" si="69"/>
        <v>Neurology</v>
      </c>
      <c r="O745" s="6">
        <f t="shared" si="70"/>
        <v>348.18</v>
      </c>
      <c r="P745" s="4" t="str">
        <f t="shared" si="71"/>
        <v>No</v>
      </c>
      <c r="Q745" s="4" t="str">
        <f>IF(OR(A745="",C745="",L745="Missing",M745="Missing",O745="0.00",K745="Missing"),"Review","OK")</f>
        <v>OK</v>
      </c>
    </row>
    <row r="746" spans="1:17" x14ac:dyDescent="0.3">
      <c r="A746">
        <v>1033</v>
      </c>
      <c r="B746" t="s">
        <v>2379</v>
      </c>
      <c r="C746">
        <v>58</v>
      </c>
      <c r="D746" t="s">
        <v>76</v>
      </c>
      <c r="E746" s="3" t="s">
        <v>212</v>
      </c>
      <c r="F746" s="3">
        <v>45544</v>
      </c>
      <c r="G746" t="s">
        <v>2380</v>
      </c>
      <c r="H746" t="s">
        <v>19</v>
      </c>
      <c r="I746" t="s">
        <v>2381</v>
      </c>
      <c r="J746">
        <v>1</v>
      </c>
      <c r="K746" t="str">
        <f t="shared" si="66"/>
        <v>Steven Morgan</v>
      </c>
      <c r="L746" t="str">
        <f t="shared" si="67"/>
        <v>Male</v>
      </c>
      <c r="M746" t="str">
        <f t="shared" si="68"/>
        <v>Donna Adkins</v>
      </c>
      <c r="N746" s="4" t="str">
        <f t="shared" si="69"/>
        <v>Orthopedics</v>
      </c>
      <c r="O746" s="6">
        <f t="shared" si="70"/>
        <v>298.42</v>
      </c>
      <c r="P746" s="4" t="str">
        <f t="shared" si="71"/>
        <v>Yes</v>
      </c>
      <c r="Q746" s="4" t="str">
        <f>IF(OR(A746="",C746="",L746="Missing",M746="Missing",O746="0.00",K746="Missing"),"Review","OK")</f>
        <v>OK</v>
      </c>
    </row>
    <row r="747" spans="1:17" x14ac:dyDescent="0.3">
      <c r="A747">
        <v>1051</v>
      </c>
      <c r="B747" t="s">
        <v>1138</v>
      </c>
      <c r="C747">
        <v>52</v>
      </c>
      <c r="D747" t="s">
        <v>76</v>
      </c>
      <c r="E747" s="3">
        <v>45961</v>
      </c>
      <c r="F747" s="3">
        <v>45536</v>
      </c>
      <c r="G747" t="s">
        <v>2382</v>
      </c>
      <c r="H747" t="s">
        <v>25</v>
      </c>
      <c r="J747">
        <v>0</v>
      </c>
      <c r="K747" t="str">
        <f t="shared" si="66"/>
        <v>Kyle Jones</v>
      </c>
      <c r="L747" t="str">
        <f t="shared" si="67"/>
        <v>Male</v>
      </c>
      <c r="M747" t="str">
        <f t="shared" si="68"/>
        <v>Sara Morse</v>
      </c>
      <c r="N747" s="4" t="str">
        <f t="shared" si="69"/>
        <v>Neurology</v>
      </c>
      <c r="O747" s="6" t="str">
        <f t="shared" si="70"/>
        <v>0.00</v>
      </c>
      <c r="P747" s="4" t="str">
        <f t="shared" si="71"/>
        <v>No</v>
      </c>
      <c r="Q747" s="4" t="str">
        <f>IF(OR(A747="",C747="",L747="Missing",M747="Missing",O747="0.00",K747="Missing"),"Review","OK")</f>
        <v>Review</v>
      </c>
    </row>
    <row r="748" spans="1:17" x14ac:dyDescent="0.3">
      <c r="A748">
        <v>1021</v>
      </c>
      <c r="B748" t="s">
        <v>2383</v>
      </c>
      <c r="C748">
        <v>41</v>
      </c>
      <c r="D748" t="s">
        <v>23</v>
      </c>
      <c r="E748" s="3">
        <v>45911</v>
      </c>
      <c r="F748" s="3">
        <v>45626</v>
      </c>
      <c r="G748" t="s">
        <v>2384</v>
      </c>
      <c r="H748" t="s">
        <v>29</v>
      </c>
      <c r="I748" t="s">
        <v>2385</v>
      </c>
      <c r="J748" t="s">
        <v>31</v>
      </c>
      <c r="K748" t="str">
        <f t="shared" si="66"/>
        <v>Mrs. Jennifer Ingram</v>
      </c>
      <c r="L748" t="str">
        <f t="shared" si="67"/>
        <v>Male</v>
      </c>
      <c r="M748" t="str">
        <f t="shared" si="68"/>
        <v>Katrina Williams Md</v>
      </c>
      <c r="N748" s="4" t="str">
        <f t="shared" si="69"/>
        <v>General</v>
      </c>
      <c r="O748" s="6">
        <f t="shared" si="70"/>
        <v>473.2</v>
      </c>
      <c r="P748" s="4" t="str">
        <f t="shared" si="71"/>
        <v>No</v>
      </c>
      <c r="Q748" s="4" t="str">
        <f>IF(OR(A748="",C748="",L748="Missing",M748="Missing",O748="0.00",K748="Missing"),"Review","OK")</f>
        <v>OK</v>
      </c>
    </row>
    <row r="749" spans="1:17" x14ac:dyDescent="0.3">
      <c r="A749">
        <v>1052</v>
      </c>
      <c r="B749" t="s">
        <v>2386</v>
      </c>
      <c r="C749">
        <v>80</v>
      </c>
      <c r="D749">
        <v>0</v>
      </c>
      <c r="E749" s="3">
        <v>45781</v>
      </c>
      <c r="F749" s="3">
        <v>45555</v>
      </c>
      <c r="G749" t="s">
        <v>2387</v>
      </c>
      <c r="H749" t="s">
        <v>13</v>
      </c>
      <c r="I749" t="s">
        <v>2388</v>
      </c>
      <c r="J749" t="s">
        <v>65</v>
      </c>
      <c r="K749" t="str">
        <f t="shared" si="66"/>
        <v>Troy Torres</v>
      </c>
      <c r="L749" t="str">
        <f t="shared" si="67"/>
        <v>Male</v>
      </c>
      <c r="M749" t="str">
        <f t="shared" si="68"/>
        <v>Matthew Carney</v>
      </c>
      <c r="N749" s="4" t="str">
        <f t="shared" si="69"/>
        <v>Cardiology</v>
      </c>
      <c r="O749" s="6">
        <f t="shared" si="70"/>
        <v>124.09</v>
      </c>
      <c r="P749" s="4" t="str">
        <f t="shared" si="71"/>
        <v>No</v>
      </c>
      <c r="Q749" s="4" t="str">
        <f>IF(OR(A749="",C749="",L749="Missing",M749="Missing",O749="0.00",K749="Missing"),"Review","OK")</f>
        <v>OK</v>
      </c>
    </row>
    <row r="750" spans="1:17" x14ac:dyDescent="0.3">
      <c r="A750">
        <v>1028</v>
      </c>
      <c r="B750" t="s">
        <v>2389</v>
      </c>
      <c r="C750">
        <v>24</v>
      </c>
      <c r="D750" t="s">
        <v>41</v>
      </c>
      <c r="E750" s="3">
        <v>46085</v>
      </c>
      <c r="F750" s="3">
        <v>45749</v>
      </c>
      <c r="G750" t="s">
        <v>2390</v>
      </c>
      <c r="H750" t="s">
        <v>29</v>
      </c>
      <c r="I750" t="s">
        <v>2391</v>
      </c>
      <c r="J750" t="s">
        <v>21</v>
      </c>
      <c r="K750" t="str">
        <f t="shared" si="66"/>
        <v>Stephanie Moss</v>
      </c>
      <c r="L750" t="str">
        <f t="shared" si="67"/>
        <v>Female</v>
      </c>
      <c r="M750" t="str">
        <f t="shared" si="68"/>
        <v>Jason Bray</v>
      </c>
      <c r="N750" s="4" t="str">
        <f t="shared" si="69"/>
        <v>General</v>
      </c>
      <c r="O750" s="6">
        <f t="shared" si="70"/>
        <v>52.32</v>
      </c>
      <c r="P750" s="4" t="str">
        <f t="shared" si="71"/>
        <v>Yes</v>
      </c>
      <c r="Q750" s="4" t="str">
        <f>IF(OR(A750="",C750="",L750="Missing",M750="Missing",O750="0.00",K750="Missing"),"Review","OK")</f>
        <v>OK</v>
      </c>
    </row>
    <row r="751" spans="1:17" x14ac:dyDescent="0.3">
      <c r="A751">
        <v>1062</v>
      </c>
      <c r="B751" t="s">
        <v>2392</v>
      </c>
      <c r="C751">
        <v>23</v>
      </c>
      <c r="D751" t="s">
        <v>41</v>
      </c>
      <c r="E751" s="3">
        <v>46051</v>
      </c>
      <c r="F751" s="3">
        <v>45474</v>
      </c>
      <c r="G751" t="s">
        <v>2393</v>
      </c>
      <c r="H751" t="s">
        <v>19</v>
      </c>
      <c r="I751" t="s">
        <v>2394</v>
      </c>
      <c r="J751" t="s">
        <v>31</v>
      </c>
      <c r="K751" t="str">
        <f t="shared" si="66"/>
        <v>Jade Blanchard Md</v>
      </c>
      <c r="L751" t="str">
        <f t="shared" si="67"/>
        <v>Female</v>
      </c>
      <c r="M751" t="str">
        <f t="shared" si="68"/>
        <v>Amber Waters</v>
      </c>
      <c r="N751" s="4" t="str">
        <f t="shared" si="69"/>
        <v>Orthopedics</v>
      </c>
      <c r="O751" s="6">
        <f t="shared" si="70"/>
        <v>151.03</v>
      </c>
      <c r="P751" s="4" t="str">
        <f t="shared" si="71"/>
        <v>No</v>
      </c>
      <c r="Q751" s="4" t="str">
        <f>IF(OR(A751="",C751="",L751="Missing",M751="Missing",O751="0.00",K751="Missing"),"Review","OK")</f>
        <v>OK</v>
      </c>
    </row>
    <row r="752" spans="1:17" x14ac:dyDescent="0.3">
      <c r="A752">
        <v>1088</v>
      </c>
      <c r="B752" t="s">
        <v>2395</v>
      </c>
      <c r="C752">
        <v>80</v>
      </c>
      <c r="D752" t="s">
        <v>16</v>
      </c>
      <c r="E752" s="3">
        <v>45839</v>
      </c>
      <c r="F752" s="3">
        <v>45608</v>
      </c>
      <c r="G752" t="s">
        <v>2396</v>
      </c>
      <c r="H752" t="s">
        <v>29</v>
      </c>
      <c r="I752" t="s">
        <v>2397</v>
      </c>
      <c r="J752" t="s">
        <v>21</v>
      </c>
      <c r="K752" t="str">
        <f t="shared" si="66"/>
        <v>Pamela Johnson</v>
      </c>
      <c r="L752" t="str">
        <f t="shared" si="67"/>
        <v>Female</v>
      </c>
      <c r="M752" t="str">
        <f t="shared" si="68"/>
        <v>Crystal Garza</v>
      </c>
      <c r="N752" s="4" t="str">
        <f t="shared" si="69"/>
        <v>General</v>
      </c>
      <c r="O752" s="6">
        <f t="shared" si="70"/>
        <v>417.42</v>
      </c>
      <c r="P752" s="4" t="str">
        <f t="shared" si="71"/>
        <v>Yes</v>
      </c>
      <c r="Q752" s="4" t="str">
        <f>IF(OR(A752="",C752="",L752="Missing",M752="Missing",O752="0.00",K752="Missing"),"Review","OK")</f>
        <v>OK</v>
      </c>
    </row>
    <row r="753" spans="1:17" x14ac:dyDescent="0.3">
      <c r="A753">
        <v>1028</v>
      </c>
      <c r="B753" t="s">
        <v>2398</v>
      </c>
      <c r="C753">
        <v>26</v>
      </c>
      <c r="D753">
        <v>0</v>
      </c>
      <c r="E753" s="3">
        <v>45915</v>
      </c>
      <c r="F753" s="3">
        <v>45790</v>
      </c>
      <c r="G753" t="s">
        <v>2399</v>
      </c>
      <c r="H753" t="s">
        <v>13</v>
      </c>
      <c r="I753" t="s">
        <v>2400</v>
      </c>
      <c r="J753" t="s">
        <v>21</v>
      </c>
      <c r="K753" t="str">
        <f t="shared" si="66"/>
        <v>Glenn Wall</v>
      </c>
      <c r="L753" t="str">
        <f t="shared" si="67"/>
        <v>Male</v>
      </c>
      <c r="M753" t="str">
        <f t="shared" si="68"/>
        <v>Sarah Peterson</v>
      </c>
      <c r="N753" s="4" t="str">
        <f t="shared" si="69"/>
        <v>Cardiology</v>
      </c>
      <c r="O753" s="6">
        <f t="shared" si="70"/>
        <v>112.9</v>
      </c>
      <c r="P753" s="4" t="str">
        <f t="shared" si="71"/>
        <v>Yes</v>
      </c>
      <c r="Q753" s="4" t="str">
        <f>IF(OR(A753="",C753="",L753="Missing",M753="Missing",O753="0.00",K753="Missing"),"Review","OK")</f>
        <v>OK</v>
      </c>
    </row>
    <row r="754" spans="1:17" x14ac:dyDescent="0.3">
      <c r="A754">
        <v>1050</v>
      </c>
      <c r="B754" t="s">
        <v>2401</v>
      </c>
      <c r="C754">
        <v>65</v>
      </c>
      <c r="D754" t="s">
        <v>56</v>
      </c>
      <c r="E754" s="3">
        <v>46115</v>
      </c>
      <c r="F754" s="3">
        <v>45444</v>
      </c>
      <c r="G754" t="s">
        <v>2402</v>
      </c>
      <c r="H754" t="s">
        <v>29</v>
      </c>
      <c r="I754" t="s">
        <v>2403</v>
      </c>
      <c r="J754" t="s">
        <v>21</v>
      </c>
      <c r="K754" t="str">
        <f t="shared" si="66"/>
        <v>Christopher Beard</v>
      </c>
      <c r="L754" t="str">
        <f t="shared" si="67"/>
        <v>Male</v>
      </c>
      <c r="M754" t="str">
        <f t="shared" si="68"/>
        <v>Jerry Torres</v>
      </c>
      <c r="N754" s="4" t="str">
        <f t="shared" si="69"/>
        <v>General</v>
      </c>
      <c r="O754" s="6">
        <f t="shared" si="70"/>
        <v>126.44</v>
      </c>
      <c r="P754" s="4" t="str">
        <f t="shared" si="71"/>
        <v>Yes</v>
      </c>
      <c r="Q754" s="4" t="str">
        <f>IF(OR(A754="",C754="",L754="Missing",M754="Missing",O754="0.00",K754="Missing"),"Review","OK")</f>
        <v>OK</v>
      </c>
    </row>
    <row r="755" spans="1:17" x14ac:dyDescent="0.3">
      <c r="A755">
        <v>1004</v>
      </c>
      <c r="B755" t="s">
        <v>2404</v>
      </c>
      <c r="C755">
        <v>54</v>
      </c>
      <c r="D755" t="s">
        <v>23</v>
      </c>
      <c r="E755" s="3">
        <v>45903</v>
      </c>
      <c r="F755" s="3">
        <v>45708</v>
      </c>
      <c r="G755" t="s">
        <v>2405</v>
      </c>
      <c r="H755" t="s">
        <v>13</v>
      </c>
      <c r="I755" t="s">
        <v>2406</v>
      </c>
      <c r="J755" t="s">
        <v>31</v>
      </c>
      <c r="K755" t="str">
        <f t="shared" si="66"/>
        <v>Darin Caldwell</v>
      </c>
      <c r="L755" t="str">
        <f t="shared" si="67"/>
        <v>Male</v>
      </c>
      <c r="M755" t="str">
        <f t="shared" si="68"/>
        <v>Danielle Pacheco</v>
      </c>
      <c r="N755" s="4" t="str">
        <f t="shared" si="69"/>
        <v>Cardiology</v>
      </c>
      <c r="O755" s="6">
        <f t="shared" si="70"/>
        <v>185.15</v>
      </c>
      <c r="P755" s="4" t="str">
        <f t="shared" si="71"/>
        <v>No</v>
      </c>
      <c r="Q755" s="4" t="str">
        <f>IF(OR(A755="",C755="",L755="Missing",M755="Missing",O755="0.00",K755="Missing"),"Review","OK")</f>
        <v>OK</v>
      </c>
    </row>
    <row r="756" spans="1:17" x14ac:dyDescent="0.3">
      <c r="A756">
        <v>1044</v>
      </c>
      <c r="B756" t="s">
        <v>2407</v>
      </c>
      <c r="C756">
        <v>58</v>
      </c>
      <c r="D756" t="s">
        <v>56</v>
      </c>
      <c r="E756" s="3">
        <v>45936</v>
      </c>
      <c r="F756" s="3">
        <v>45506</v>
      </c>
      <c r="G756" t="s">
        <v>2408</v>
      </c>
      <c r="H756" t="s">
        <v>19</v>
      </c>
      <c r="J756" t="s">
        <v>31</v>
      </c>
      <c r="K756" t="str">
        <f t="shared" si="66"/>
        <v>Henry Henderson</v>
      </c>
      <c r="L756" t="str">
        <f t="shared" si="67"/>
        <v>Male</v>
      </c>
      <c r="M756" t="str">
        <f t="shared" si="68"/>
        <v>James Love</v>
      </c>
      <c r="N756" s="4" t="str">
        <f t="shared" si="69"/>
        <v>Orthopedics</v>
      </c>
      <c r="O756" s="6" t="str">
        <f t="shared" si="70"/>
        <v>0.00</v>
      </c>
      <c r="P756" s="4" t="str">
        <f t="shared" si="71"/>
        <v>No</v>
      </c>
      <c r="Q756" s="4" t="str">
        <f>IF(OR(A756="",C756="",L756="Missing",M756="Missing",O756="0.00",K756="Missing"),"Review","OK")</f>
        <v>Review</v>
      </c>
    </row>
    <row r="757" spans="1:17" x14ac:dyDescent="0.3">
      <c r="A757">
        <v>1030</v>
      </c>
      <c r="B757" t="s">
        <v>2409</v>
      </c>
      <c r="C757">
        <v>42</v>
      </c>
      <c r="D757" t="s">
        <v>76</v>
      </c>
      <c r="E757" s="3" t="s">
        <v>439</v>
      </c>
      <c r="F757" s="3">
        <v>45623</v>
      </c>
      <c r="G757" t="s">
        <v>2410</v>
      </c>
      <c r="H757" t="s">
        <v>25</v>
      </c>
      <c r="I757" t="s">
        <v>2411</v>
      </c>
      <c r="J757" t="s">
        <v>21</v>
      </c>
      <c r="K757" t="str">
        <f t="shared" si="66"/>
        <v>Regina Giles</v>
      </c>
      <c r="L757" t="str">
        <f t="shared" si="67"/>
        <v>Male</v>
      </c>
      <c r="M757" t="str">
        <f t="shared" si="68"/>
        <v>Kimberly Foster</v>
      </c>
      <c r="N757" s="4" t="str">
        <f t="shared" si="69"/>
        <v>Neurology</v>
      </c>
      <c r="O757" s="6">
        <f t="shared" si="70"/>
        <v>258.89999999999998</v>
      </c>
      <c r="P757" s="4" t="str">
        <f t="shared" si="71"/>
        <v>Yes</v>
      </c>
      <c r="Q757" s="4" t="str">
        <f>IF(OR(A757="",C757="",L757="Missing",M757="Missing",O757="0.00",K757="Missing"),"Review","OK")</f>
        <v>OK</v>
      </c>
    </row>
    <row r="758" spans="1:17" x14ac:dyDescent="0.3">
      <c r="A758">
        <v>1073</v>
      </c>
      <c r="B758" t="s">
        <v>2412</v>
      </c>
      <c r="C758">
        <v>84</v>
      </c>
      <c r="D758" t="s">
        <v>56</v>
      </c>
      <c r="E758" s="3" t="s">
        <v>464</v>
      </c>
      <c r="F758" s="3">
        <v>45467</v>
      </c>
      <c r="G758" t="s">
        <v>2413</v>
      </c>
      <c r="H758" t="s">
        <v>25</v>
      </c>
      <c r="I758" t="s">
        <v>2414</v>
      </c>
      <c r="J758" t="s">
        <v>31</v>
      </c>
      <c r="K758" t="str">
        <f t="shared" si="66"/>
        <v>Curtis Cooke</v>
      </c>
      <c r="L758" t="str">
        <f t="shared" si="67"/>
        <v>Male</v>
      </c>
      <c r="M758" t="str">
        <f t="shared" si="68"/>
        <v>John Hancock</v>
      </c>
      <c r="N758" s="4" t="str">
        <f t="shared" si="69"/>
        <v>Neurology</v>
      </c>
      <c r="O758" s="6">
        <f t="shared" si="70"/>
        <v>477.08</v>
      </c>
      <c r="P758" s="4" t="str">
        <f t="shared" si="71"/>
        <v>No</v>
      </c>
      <c r="Q758" s="4" t="str">
        <f>IF(OR(A758="",C758="",L758="Missing",M758="Missing",O758="0.00",K758="Missing"),"Review","OK")</f>
        <v>OK</v>
      </c>
    </row>
    <row r="759" spans="1:17" x14ac:dyDescent="0.3">
      <c r="A759">
        <v>1018</v>
      </c>
      <c r="B759" t="s">
        <v>2415</v>
      </c>
      <c r="C759">
        <v>55</v>
      </c>
      <c r="D759">
        <v>1</v>
      </c>
      <c r="E759" s="3" t="s">
        <v>1194</v>
      </c>
      <c r="F759" s="3">
        <v>45711</v>
      </c>
      <c r="G759" t="s">
        <v>2416</v>
      </c>
      <c r="H759" t="s">
        <v>25</v>
      </c>
      <c r="I759" t="s">
        <v>2417</v>
      </c>
      <c r="J759">
        <v>0</v>
      </c>
      <c r="K759" t="str">
        <f t="shared" si="66"/>
        <v>Joel Marshall</v>
      </c>
      <c r="L759" t="str">
        <f t="shared" si="67"/>
        <v>Female</v>
      </c>
      <c r="M759" t="str">
        <f t="shared" si="68"/>
        <v>Victoria Garcia</v>
      </c>
      <c r="N759" s="4" t="str">
        <f t="shared" si="69"/>
        <v>Neurology</v>
      </c>
      <c r="O759" s="6">
        <f t="shared" si="70"/>
        <v>306.8</v>
      </c>
      <c r="P759" s="4" t="str">
        <f t="shared" si="71"/>
        <v>No</v>
      </c>
      <c r="Q759" s="4" t="str">
        <f>IF(OR(A759="",C759="",L759="Missing",M759="Missing",O759="0.00",K759="Missing"),"Review","OK")</f>
        <v>OK</v>
      </c>
    </row>
    <row r="760" spans="1:17" x14ac:dyDescent="0.3">
      <c r="A760">
        <v>1062</v>
      </c>
      <c r="B760" t="s">
        <v>2418</v>
      </c>
      <c r="C760">
        <v>84</v>
      </c>
      <c r="D760" t="s">
        <v>11</v>
      </c>
      <c r="E760" s="3" t="s">
        <v>1016</v>
      </c>
      <c r="F760" s="3">
        <v>45445</v>
      </c>
      <c r="G760" t="s">
        <v>2419</v>
      </c>
      <c r="H760" t="s">
        <v>13</v>
      </c>
      <c r="I760" t="s">
        <v>2420</v>
      </c>
      <c r="J760" t="s">
        <v>31</v>
      </c>
      <c r="K760" t="str">
        <f t="shared" si="66"/>
        <v>Peter Schaefer</v>
      </c>
      <c r="L760" t="str">
        <f t="shared" si="67"/>
        <v>Female</v>
      </c>
      <c r="M760" t="str">
        <f t="shared" si="68"/>
        <v>Carlos Spence</v>
      </c>
      <c r="N760" s="4" t="str">
        <f t="shared" si="69"/>
        <v>Cardiology</v>
      </c>
      <c r="O760" s="6">
        <f t="shared" si="70"/>
        <v>190.01</v>
      </c>
      <c r="P760" s="4" t="str">
        <f t="shared" si="71"/>
        <v>No</v>
      </c>
      <c r="Q760" s="4" t="str">
        <f>IF(OR(A760="",C760="",L760="Missing",M760="Missing",O760="0.00",K760="Missing"),"Review","OK")</f>
        <v>OK</v>
      </c>
    </row>
    <row r="761" spans="1:17" x14ac:dyDescent="0.3">
      <c r="A761">
        <v>1014</v>
      </c>
      <c r="B761" t="s">
        <v>2421</v>
      </c>
      <c r="C761">
        <v>67</v>
      </c>
      <c r="D761" t="s">
        <v>41</v>
      </c>
      <c r="E761" s="3">
        <v>46107</v>
      </c>
      <c r="F761" s="3">
        <v>46206</v>
      </c>
      <c r="G761" t="s">
        <v>2422</v>
      </c>
      <c r="H761" t="s">
        <v>29</v>
      </c>
      <c r="I761" t="s">
        <v>2423</v>
      </c>
      <c r="J761" t="s">
        <v>65</v>
      </c>
      <c r="K761" t="str">
        <f t="shared" si="66"/>
        <v>Andrew Cross</v>
      </c>
      <c r="L761" t="str">
        <f t="shared" si="67"/>
        <v>Female</v>
      </c>
      <c r="M761" t="str">
        <f t="shared" si="68"/>
        <v>Victor Warner</v>
      </c>
      <c r="N761" s="4" t="str">
        <f t="shared" si="69"/>
        <v>General</v>
      </c>
      <c r="O761" s="6">
        <f t="shared" si="70"/>
        <v>281.44</v>
      </c>
      <c r="P761" s="4" t="str">
        <f t="shared" si="71"/>
        <v>No</v>
      </c>
      <c r="Q761" s="4" t="str">
        <f>IF(OR(A761="",C761="",L761="Missing",M761="Missing",O761="0.00",K761="Missing"),"Review","OK")</f>
        <v>OK</v>
      </c>
    </row>
    <row r="762" spans="1:17" x14ac:dyDescent="0.3">
      <c r="A762">
        <v>1030</v>
      </c>
      <c r="B762" t="s">
        <v>2424</v>
      </c>
      <c r="C762">
        <v>40</v>
      </c>
      <c r="D762" t="s">
        <v>76</v>
      </c>
      <c r="E762" s="3">
        <v>45994</v>
      </c>
      <c r="F762" s="3">
        <v>45878</v>
      </c>
      <c r="G762" t="s">
        <v>2425</v>
      </c>
      <c r="H762" t="s">
        <v>19</v>
      </c>
      <c r="I762" t="s">
        <v>2426</v>
      </c>
      <c r="J762" t="s">
        <v>21</v>
      </c>
      <c r="K762" t="str">
        <f t="shared" si="66"/>
        <v>Jonathan Fernandez</v>
      </c>
      <c r="L762" t="str">
        <f t="shared" si="67"/>
        <v>Male</v>
      </c>
      <c r="M762" t="str">
        <f t="shared" si="68"/>
        <v>Luis Nolan</v>
      </c>
      <c r="N762" s="4" t="str">
        <f t="shared" si="69"/>
        <v>Orthopedics</v>
      </c>
      <c r="O762" s="6">
        <f t="shared" si="70"/>
        <v>252.73</v>
      </c>
      <c r="P762" s="4" t="str">
        <f t="shared" si="71"/>
        <v>Yes</v>
      </c>
      <c r="Q762" s="4" t="str">
        <f>IF(OR(A762="",C762="",L762="Missing",M762="Missing",O762="0.00",K762="Missing"),"Review","OK")</f>
        <v>OK</v>
      </c>
    </row>
    <row r="763" spans="1:17" x14ac:dyDescent="0.3">
      <c r="A763">
        <v>1081</v>
      </c>
      <c r="B763" t="s">
        <v>2427</v>
      </c>
      <c r="C763">
        <v>72</v>
      </c>
      <c r="D763" t="s">
        <v>41</v>
      </c>
      <c r="E763" s="3">
        <v>45751</v>
      </c>
      <c r="F763" s="3" t="s">
        <v>2428</v>
      </c>
      <c r="G763" t="s">
        <v>2429</v>
      </c>
      <c r="H763" t="s">
        <v>29</v>
      </c>
      <c r="I763" t="s">
        <v>2430</v>
      </c>
      <c r="J763" t="s">
        <v>31</v>
      </c>
      <c r="K763" t="str">
        <f t="shared" si="66"/>
        <v>Rebecca Gould</v>
      </c>
      <c r="L763" t="str">
        <f t="shared" si="67"/>
        <v>Female</v>
      </c>
      <c r="M763" t="str">
        <f t="shared" si="68"/>
        <v>Xavier Richardson</v>
      </c>
      <c r="N763" s="4" t="str">
        <f t="shared" si="69"/>
        <v>General</v>
      </c>
      <c r="O763" s="6">
        <f t="shared" si="70"/>
        <v>397</v>
      </c>
      <c r="P763" s="4" t="str">
        <f t="shared" si="71"/>
        <v>No</v>
      </c>
      <c r="Q763" s="4" t="str">
        <f>IF(OR(A763="",C763="",L763="Missing",M763="Missing",O763="0.00",K763="Missing"),"Review","OK")</f>
        <v>OK</v>
      </c>
    </row>
    <row r="764" spans="1:17" x14ac:dyDescent="0.3">
      <c r="A764">
        <v>1065</v>
      </c>
      <c r="B764" t="s">
        <v>2431</v>
      </c>
      <c r="C764">
        <v>32</v>
      </c>
      <c r="D764" t="s">
        <v>76</v>
      </c>
      <c r="E764" s="3">
        <v>45790</v>
      </c>
      <c r="F764" s="3">
        <v>45525</v>
      </c>
      <c r="G764" t="s">
        <v>2432</v>
      </c>
      <c r="H764" t="s">
        <v>13</v>
      </c>
      <c r="I764" t="s">
        <v>2433</v>
      </c>
      <c r="J764">
        <v>1</v>
      </c>
      <c r="K764" t="str">
        <f t="shared" si="66"/>
        <v>Anthony Nash</v>
      </c>
      <c r="L764" t="str">
        <f t="shared" si="67"/>
        <v>Male</v>
      </c>
      <c r="M764" t="str">
        <f t="shared" si="68"/>
        <v>Brianna Shea</v>
      </c>
      <c r="N764" s="4" t="str">
        <f t="shared" si="69"/>
        <v>Cardiology</v>
      </c>
      <c r="O764" s="6">
        <f t="shared" si="70"/>
        <v>392</v>
      </c>
      <c r="P764" s="4" t="str">
        <f t="shared" si="71"/>
        <v>Yes</v>
      </c>
      <c r="Q764" s="4" t="str">
        <f>IF(OR(A764="",C764="",L764="Missing",M764="Missing",O764="0.00",K764="Missing"),"Review","OK")</f>
        <v>OK</v>
      </c>
    </row>
    <row r="765" spans="1:17" x14ac:dyDescent="0.3">
      <c r="A765">
        <v>1081</v>
      </c>
      <c r="B765" t="s">
        <v>2434</v>
      </c>
      <c r="C765">
        <v>65</v>
      </c>
      <c r="D765" t="s">
        <v>16</v>
      </c>
      <c r="E765" s="3">
        <v>45937</v>
      </c>
      <c r="F765" s="3">
        <v>45635</v>
      </c>
      <c r="G765" t="s">
        <v>2435</v>
      </c>
      <c r="H765" t="s">
        <v>19</v>
      </c>
      <c r="J765" t="s">
        <v>31</v>
      </c>
      <c r="K765" t="str">
        <f t="shared" si="66"/>
        <v>Kimberly Fitzpatrick</v>
      </c>
      <c r="L765" t="str">
        <f t="shared" si="67"/>
        <v>Female</v>
      </c>
      <c r="M765" t="str">
        <f t="shared" si="68"/>
        <v>Mark Moore</v>
      </c>
      <c r="N765" s="4" t="str">
        <f t="shared" si="69"/>
        <v>Orthopedics</v>
      </c>
      <c r="O765" s="6" t="str">
        <f t="shared" si="70"/>
        <v>0.00</v>
      </c>
      <c r="P765" s="4" t="str">
        <f t="shared" si="71"/>
        <v>No</v>
      </c>
      <c r="Q765" s="4" t="str">
        <f>IF(OR(A765="",C765="",L765="Missing",M765="Missing",O765="0.00",K765="Missing"),"Review","OK")</f>
        <v>Review</v>
      </c>
    </row>
    <row r="766" spans="1:17" x14ac:dyDescent="0.3">
      <c r="A766">
        <v>1017</v>
      </c>
      <c r="B766" t="s">
        <v>2436</v>
      </c>
      <c r="C766">
        <v>82</v>
      </c>
      <c r="D766" t="s">
        <v>41</v>
      </c>
      <c r="E766" s="3">
        <v>46037</v>
      </c>
      <c r="F766" s="3">
        <v>45862</v>
      </c>
      <c r="G766" t="s">
        <v>2437</v>
      </c>
      <c r="H766" t="s">
        <v>29</v>
      </c>
      <c r="I766" t="s">
        <v>2438</v>
      </c>
      <c r="J766">
        <v>0</v>
      </c>
      <c r="K766" t="str">
        <f t="shared" si="66"/>
        <v>Elizabeth Duke</v>
      </c>
      <c r="L766" t="str">
        <f t="shared" si="67"/>
        <v>Female</v>
      </c>
      <c r="M766" t="str">
        <f t="shared" si="68"/>
        <v>Michael Rogers</v>
      </c>
      <c r="N766" s="4" t="str">
        <f t="shared" si="69"/>
        <v>General</v>
      </c>
      <c r="O766" s="6">
        <f t="shared" si="70"/>
        <v>156.61000000000001</v>
      </c>
      <c r="P766" s="4" t="str">
        <f t="shared" si="71"/>
        <v>No</v>
      </c>
      <c r="Q766" s="4" t="str">
        <f>IF(OR(A766="",C766="",L766="Missing",M766="Missing",O766="0.00",K766="Missing"),"Review","OK")</f>
        <v>OK</v>
      </c>
    </row>
    <row r="767" spans="1:17" x14ac:dyDescent="0.3">
      <c r="A767">
        <v>1001</v>
      </c>
      <c r="B767" t="s">
        <v>2439</v>
      </c>
      <c r="C767">
        <v>61</v>
      </c>
      <c r="D767" t="s">
        <v>76</v>
      </c>
      <c r="E767" s="3">
        <v>45954</v>
      </c>
      <c r="F767" s="3">
        <v>45890</v>
      </c>
      <c r="G767" t="s">
        <v>2440</v>
      </c>
      <c r="H767" t="s">
        <v>19</v>
      </c>
      <c r="I767" t="s">
        <v>2441</v>
      </c>
      <c r="J767" t="s">
        <v>39</v>
      </c>
      <c r="K767" t="str">
        <f t="shared" si="66"/>
        <v>Richard Griffin</v>
      </c>
      <c r="L767" t="str">
        <f t="shared" si="67"/>
        <v>Male</v>
      </c>
      <c r="M767" t="str">
        <f t="shared" si="68"/>
        <v>Tina Gonzalez</v>
      </c>
      <c r="N767" s="4" t="str">
        <f t="shared" si="69"/>
        <v>Orthopedics</v>
      </c>
      <c r="O767" s="6">
        <f t="shared" si="70"/>
        <v>81.87</v>
      </c>
      <c r="P767" s="4" t="str">
        <f t="shared" si="71"/>
        <v>Yes</v>
      </c>
      <c r="Q767" s="4" t="str">
        <f>IF(OR(A767="",C767="",L767="Missing",M767="Missing",O767="0.00",K767="Missing"),"Review","OK")</f>
        <v>OK</v>
      </c>
    </row>
    <row r="768" spans="1:17" x14ac:dyDescent="0.3">
      <c r="A768">
        <v>1042</v>
      </c>
      <c r="B768" t="s">
        <v>2442</v>
      </c>
      <c r="C768">
        <v>75</v>
      </c>
      <c r="D768" t="s">
        <v>56</v>
      </c>
      <c r="E768" s="3">
        <v>46008</v>
      </c>
      <c r="F768" s="3">
        <v>45557</v>
      </c>
      <c r="G768" t="s">
        <v>2443</v>
      </c>
      <c r="H768" t="s">
        <v>25</v>
      </c>
      <c r="I768" t="s">
        <v>2444</v>
      </c>
      <c r="J768">
        <v>0</v>
      </c>
      <c r="K768" t="str">
        <f t="shared" si="66"/>
        <v>Erica Jimenez</v>
      </c>
      <c r="L768" t="str">
        <f t="shared" si="67"/>
        <v>Male</v>
      </c>
      <c r="M768" t="str">
        <f t="shared" si="68"/>
        <v>Bethany Mcpherson</v>
      </c>
      <c r="N768" s="4" t="str">
        <f t="shared" si="69"/>
        <v>Neurology</v>
      </c>
      <c r="O768" s="6">
        <f t="shared" si="70"/>
        <v>438.16</v>
      </c>
      <c r="P768" s="4" t="str">
        <f t="shared" si="71"/>
        <v>No</v>
      </c>
      <c r="Q768" s="4" t="str">
        <f>IF(OR(A768="",C768="",L768="Missing",M768="Missing",O768="0.00",K768="Missing"),"Review","OK")</f>
        <v>OK</v>
      </c>
    </row>
    <row r="769" spans="1:17" x14ac:dyDescent="0.3">
      <c r="A769">
        <v>1015</v>
      </c>
      <c r="B769" t="s">
        <v>2445</v>
      </c>
      <c r="C769">
        <v>35</v>
      </c>
      <c r="D769" t="s">
        <v>41</v>
      </c>
      <c r="E769" s="3">
        <v>45959</v>
      </c>
      <c r="F769" s="3">
        <v>45821</v>
      </c>
      <c r="G769" t="s">
        <v>2446</v>
      </c>
      <c r="H769" t="s">
        <v>29</v>
      </c>
      <c r="I769" t="s">
        <v>2447</v>
      </c>
      <c r="J769">
        <v>0</v>
      </c>
      <c r="K769" t="str">
        <f t="shared" si="66"/>
        <v>Melissa Allen</v>
      </c>
      <c r="L769" t="str">
        <f t="shared" si="67"/>
        <v>Female</v>
      </c>
      <c r="M769" t="str">
        <f t="shared" si="68"/>
        <v>Rodney Lopez</v>
      </c>
      <c r="N769" s="4" t="str">
        <f t="shared" si="69"/>
        <v>General</v>
      </c>
      <c r="O769" s="6">
        <f t="shared" si="70"/>
        <v>447.77</v>
      </c>
      <c r="P769" s="4" t="str">
        <f t="shared" si="71"/>
        <v>No</v>
      </c>
      <c r="Q769" s="4" t="str">
        <f>IF(OR(A769="",C769="",L769="Missing",M769="Missing",O769="0.00",K769="Missing"),"Review","OK")</f>
        <v>OK</v>
      </c>
    </row>
    <row r="770" spans="1:17" x14ac:dyDescent="0.3">
      <c r="A770">
        <v>1098</v>
      </c>
      <c r="B770" t="s">
        <v>2448</v>
      </c>
      <c r="C770">
        <v>66</v>
      </c>
      <c r="D770" t="s">
        <v>16</v>
      </c>
      <c r="E770" s="3">
        <v>45794</v>
      </c>
      <c r="F770" s="3">
        <v>45533</v>
      </c>
      <c r="G770" t="s">
        <v>2449</v>
      </c>
      <c r="H770" t="s">
        <v>25</v>
      </c>
      <c r="I770" t="s">
        <v>2450</v>
      </c>
      <c r="J770" t="s">
        <v>65</v>
      </c>
      <c r="K770" t="str">
        <f t="shared" ref="K770:K833" si="72">PROPER(TRIM(CLEAN(B770)))</f>
        <v>Manuel Becker</v>
      </c>
      <c r="L770" t="str">
        <f t="shared" ref="L770:L833" si="73">_xlfn.LET(_xlpm.x,LOWER(TRIM(D770)),
IF(OR(_xlpm.x="f",_xlpm.x="female",_xlpm.x="1"),"Female",
IF(OR(_xlpm.x="m",_xlpm.x="male",_xlpm.x="0"),"Male",
IF(_xlpm.x="","Missing","Review"))))</f>
        <v>Female</v>
      </c>
      <c r="M770" t="str">
        <f t="shared" ref="M770:M833" si="74">PROPER(TRIM(CLEAN(G770)))</f>
        <v>Jacob Patel</v>
      </c>
      <c r="N770" s="4" t="str">
        <f t="shared" ref="N770:N833" si="75">PROPER(TRIM(CLEAN(H770)))</f>
        <v>Neurology</v>
      </c>
      <c r="O770" s="6">
        <f t="shared" ref="O770:O833" si="76">_xlfn.LET(_xlpm.x,TRIM(I770),IF(_xlpm.x="","0.00",IFERROR(VALUE(SUBSTITUTE(SUBSTITUTE(SUBSTITUTE(SUBSTITUTE(SUBSTITUTE(SUBSTITUTE(_xlpm.x,"Â£",""),"â‚¬",""),"$",""),"Rs",""),"£",""),"€","")),"0.00")))</f>
        <v>139.99</v>
      </c>
      <c r="P770" s="4" t="str">
        <f t="shared" ref="P770:P833" si="77">_xlfn.LET(_xlpm.x,LOWER(TRIM(J770)),
IF(OR(_xlpm.x="y",_xlpm.x="yes",_xlpm.x="1"),"Yes",
IF(OR(_xlpm.x="n",_xlpm.x="no",_xlpm.x="0"),"No",
IF(_xlpm.x="","Missing","Review"))))</f>
        <v>No</v>
      </c>
      <c r="Q770" s="4" t="str">
        <f>IF(OR(A770="",C770="",L770="Missing",M770="Missing",O770="0.00",K770="Missing"),"Review","OK")</f>
        <v>OK</v>
      </c>
    </row>
    <row r="771" spans="1:17" x14ac:dyDescent="0.3">
      <c r="A771">
        <v>1099</v>
      </c>
      <c r="B771" t="s">
        <v>697</v>
      </c>
      <c r="C771">
        <v>42</v>
      </c>
      <c r="D771" t="s">
        <v>76</v>
      </c>
      <c r="E771" s="3">
        <v>45868</v>
      </c>
      <c r="F771" s="3">
        <v>45725</v>
      </c>
      <c r="G771" t="s">
        <v>2451</v>
      </c>
      <c r="H771" t="s">
        <v>13</v>
      </c>
      <c r="I771" t="s">
        <v>2452</v>
      </c>
      <c r="J771">
        <v>1</v>
      </c>
      <c r="K771" t="str">
        <f t="shared" si="72"/>
        <v>Erika Davis</v>
      </c>
      <c r="L771" t="str">
        <f t="shared" si="73"/>
        <v>Male</v>
      </c>
      <c r="M771" t="str">
        <f t="shared" si="74"/>
        <v>Jamie Andrews</v>
      </c>
      <c r="N771" s="4" t="str">
        <f t="shared" si="75"/>
        <v>Cardiology</v>
      </c>
      <c r="O771" s="6">
        <f t="shared" si="76"/>
        <v>393.1</v>
      </c>
      <c r="P771" s="4" t="str">
        <f t="shared" si="77"/>
        <v>Yes</v>
      </c>
      <c r="Q771" s="4" t="str">
        <f>IF(OR(A771="",C771="",L771="Missing",M771="Missing",O771="0.00",K771="Missing"),"Review","OK")</f>
        <v>OK</v>
      </c>
    </row>
    <row r="772" spans="1:17" x14ac:dyDescent="0.3">
      <c r="A772">
        <v>1032</v>
      </c>
      <c r="B772" t="s">
        <v>2453</v>
      </c>
      <c r="C772">
        <v>19</v>
      </c>
      <c r="D772">
        <v>0</v>
      </c>
      <c r="E772" s="3">
        <v>45907</v>
      </c>
      <c r="F772" s="3">
        <v>45442</v>
      </c>
      <c r="G772" t="s">
        <v>2454</v>
      </c>
      <c r="H772" t="s">
        <v>13</v>
      </c>
      <c r="I772" t="s">
        <v>2455</v>
      </c>
      <c r="J772">
        <v>1</v>
      </c>
      <c r="K772" t="str">
        <f t="shared" si="72"/>
        <v>Shannon Flores</v>
      </c>
      <c r="L772" t="str">
        <f t="shared" si="73"/>
        <v>Male</v>
      </c>
      <c r="M772" t="str">
        <f t="shared" si="74"/>
        <v>Scott Washington</v>
      </c>
      <c r="N772" s="4" t="str">
        <f t="shared" si="75"/>
        <v>Cardiology</v>
      </c>
      <c r="O772" s="6">
        <f t="shared" si="76"/>
        <v>248.78</v>
      </c>
      <c r="P772" s="4" t="str">
        <f t="shared" si="77"/>
        <v>Yes</v>
      </c>
      <c r="Q772" s="4" t="str">
        <f>IF(OR(A772="",C772="",L772="Missing",M772="Missing",O772="0.00",K772="Missing"),"Review","OK")</f>
        <v>OK</v>
      </c>
    </row>
    <row r="773" spans="1:17" x14ac:dyDescent="0.3">
      <c r="A773">
        <v>1034</v>
      </c>
      <c r="B773" t="s">
        <v>2456</v>
      </c>
      <c r="C773">
        <v>41</v>
      </c>
      <c r="D773" t="s">
        <v>23</v>
      </c>
      <c r="E773" s="3">
        <v>46056</v>
      </c>
      <c r="F773" s="3">
        <v>45934</v>
      </c>
      <c r="G773" t="s">
        <v>2457</v>
      </c>
      <c r="H773" t="s">
        <v>13</v>
      </c>
      <c r="I773" t="s">
        <v>2458</v>
      </c>
      <c r="J773" t="s">
        <v>39</v>
      </c>
      <c r="K773" t="str">
        <f t="shared" si="72"/>
        <v>Tara Garrison</v>
      </c>
      <c r="L773" t="str">
        <f t="shared" si="73"/>
        <v>Male</v>
      </c>
      <c r="M773" t="str">
        <f t="shared" si="74"/>
        <v>Stacy Hartman</v>
      </c>
      <c r="N773" s="4" t="str">
        <f t="shared" si="75"/>
        <v>Cardiology</v>
      </c>
      <c r="O773" s="6">
        <f t="shared" si="76"/>
        <v>453.09</v>
      </c>
      <c r="P773" s="4" t="str">
        <f t="shared" si="77"/>
        <v>Yes</v>
      </c>
      <c r="Q773" s="4" t="str">
        <f>IF(OR(A773="",C773="",L773="Missing",M773="Missing",O773="0.00",K773="Missing"),"Review","OK")</f>
        <v>OK</v>
      </c>
    </row>
    <row r="774" spans="1:17" x14ac:dyDescent="0.3">
      <c r="A774">
        <v>1005</v>
      </c>
      <c r="B774" t="s">
        <v>1977</v>
      </c>
      <c r="C774">
        <v>27</v>
      </c>
      <c r="D774" t="s">
        <v>41</v>
      </c>
      <c r="E774" s="3" t="s">
        <v>2459</v>
      </c>
      <c r="F774" s="3">
        <v>45394</v>
      </c>
      <c r="G774" t="s">
        <v>2460</v>
      </c>
      <c r="H774" t="s">
        <v>29</v>
      </c>
      <c r="I774" t="s">
        <v>2461</v>
      </c>
      <c r="J774">
        <v>1</v>
      </c>
      <c r="K774" t="str">
        <f t="shared" si="72"/>
        <v>Pamela Davis</v>
      </c>
      <c r="L774" t="str">
        <f t="shared" si="73"/>
        <v>Female</v>
      </c>
      <c r="M774" t="str">
        <f t="shared" si="74"/>
        <v>Kevin Fields</v>
      </c>
      <c r="N774" s="4" t="str">
        <f t="shared" si="75"/>
        <v>General</v>
      </c>
      <c r="O774" s="6">
        <f t="shared" si="76"/>
        <v>57.05</v>
      </c>
      <c r="P774" s="4" t="str">
        <f t="shared" si="77"/>
        <v>Yes</v>
      </c>
      <c r="Q774" s="4" t="str">
        <f>IF(OR(A774="",C774="",L774="Missing",M774="Missing",O774="0.00",K774="Missing"),"Review","OK")</f>
        <v>OK</v>
      </c>
    </row>
    <row r="775" spans="1:17" x14ac:dyDescent="0.3">
      <c r="A775">
        <v>1050</v>
      </c>
      <c r="B775" t="s">
        <v>2462</v>
      </c>
      <c r="C775">
        <v>21</v>
      </c>
      <c r="D775">
        <v>0</v>
      </c>
      <c r="E775" s="3">
        <v>45853</v>
      </c>
      <c r="F775" s="3">
        <v>45496</v>
      </c>
      <c r="G775" t="s">
        <v>2463</v>
      </c>
      <c r="H775" t="s">
        <v>25</v>
      </c>
      <c r="I775" t="s">
        <v>2464</v>
      </c>
      <c r="J775">
        <v>0</v>
      </c>
      <c r="K775" t="str">
        <f t="shared" si="72"/>
        <v>Sandra Terry</v>
      </c>
      <c r="L775" t="str">
        <f t="shared" si="73"/>
        <v>Male</v>
      </c>
      <c r="M775" t="str">
        <f t="shared" si="74"/>
        <v>Debra Buchanan</v>
      </c>
      <c r="N775" s="4" t="str">
        <f t="shared" si="75"/>
        <v>Neurology</v>
      </c>
      <c r="O775" s="6">
        <f t="shared" si="76"/>
        <v>386.04</v>
      </c>
      <c r="P775" s="4" t="str">
        <f t="shared" si="77"/>
        <v>No</v>
      </c>
      <c r="Q775" s="4" t="str">
        <f>IF(OR(A775="",C775="",L775="Missing",M775="Missing",O775="0.00",K775="Missing"),"Review","OK")</f>
        <v>OK</v>
      </c>
    </row>
    <row r="776" spans="1:17" x14ac:dyDescent="0.3">
      <c r="A776">
        <v>1069</v>
      </c>
      <c r="B776" t="s">
        <v>2465</v>
      </c>
      <c r="C776">
        <v>20</v>
      </c>
      <c r="D776">
        <v>1</v>
      </c>
      <c r="E776" s="3">
        <v>45778</v>
      </c>
      <c r="F776" s="3">
        <v>45775</v>
      </c>
      <c r="G776" t="s">
        <v>2466</v>
      </c>
      <c r="H776" t="s">
        <v>19</v>
      </c>
      <c r="I776" t="s">
        <v>2467</v>
      </c>
      <c r="J776" t="s">
        <v>65</v>
      </c>
      <c r="K776" t="str">
        <f t="shared" si="72"/>
        <v>Steven Miller</v>
      </c>
      <c r="L776" t="str">
        <f t="shared" si="73"/>
        <v>Female</v>
      </c>
      <c r="M776" t="str">
        <f t="shared" si="74"/>
        <v>Bob Shaw</v>
      </c>
      <c r="N776" s="4" t="str">
        <f t="shared" si="75"/>
        <v>Orthopedics</v>
      </c>
      <c r="O776" s="6">
        <f t="shared" si="76"/>
        <v>204.82</v>
      </c>
      <c r="P776" s="4" t="str">
        <f t="shared" si="77"/>
        <v>No</v>
      </c>
      <c r="Q776" s="4" t="str">
        <f>IF(OR(A776="",C776="",L776="Missing",M776="Missing",O776="0.00",K776="Missing"),"Review","OK")</f>
        <v>OK</v>
      </c>
    </row>
    <row r="777" spans="1:17" x14ac:dyDescent="0.3">
      <c r="A777">
        <v>1001</v>
      </c>
      <c r="B777" t="s">
        <v>2468</v>
      </c>
      <c r="C777">
        <v>84</v>
      </c>
      <c r="D777" t="s">
        <v>56</v>
      </c>
      <c r="E777" s="3">
        <v>46358</v>
      </c>
      <c r="F777" s="3">
        <v>45464</v>
      </c>
      <c r="G777" t="s">
        <v>2469</v>
      </c>
      <c r="H777" t="s">
        <v>13</v>
      </c>
      <c r="I777" t="s">
        <v>2470</v>
      </c>
      <c r="J777" t="s">
        <v>31</v>
      </c>
      <c r="K777" t="str">
        <f t="shared" si="72"/>
        <v>Haley King</v>
      </c>
      <c r="L777" t="str">
        <f t="shared" si="73"/>
        <v>Male</v>
      </c>
      <c r="M777" t="str">
        <f t="shared" si="74"/>
        <v>Erin Carr</v>
      </c>
      <c r="N777" s="4" t="str">
        <f t="shared" si="75"/>
        <v>Cardiology</v>
      </c>
      <c r="O777" s="6">
        <f t="shared" si="76"/>
        <v>239.93</v>
      </c>
      <c r="P777" s="4" t="str">
        <f t="shared" si="77"/>
        <v>No</v>
      </c>
      <c r="Q777" s="4" t="str">
        <f>IF(OR(A777="",C777="",L777="Missing",M777="Missing",O777="0.00",K777="Missing"),"Review","OK")</f>
        <v>OK</v>
      </c>
    </row>
    <row r="778" spans="1:17" x14ac:dyDescent="0.3">
      <c r="A778">
        <v>1066</v>
      </c>
      <c r="B778" t="s">
        <v>2471</v>
      </c>
      <c r="C778">
        <v>74</v>
      </c>
      <c r="D778" t="s">
        <v>41</v>
      </c>
      <c r="E778" s="3">
        <v>45800</v>
      </c>
      <c r="F778" s="3">
        <v>45652</v>
      </c>
      <c r="G778" t="s">
        <v>2472</v>
      </c>
      <c r="H778" t="s">
        <v>19</v>
      </c>
      <c r="I778" t="s">
        <v>2473</v>
      </c>
      <c r="J778" t="s">
        <v>21</v>
      </c>
      <c r="K778" t="str">
        <f t="shared" si="72"/>
        <v>Jonathan Wood</v>
      </c>
      <c r="L778" t="str">
        <f t="shared" si="73"/>
        <v>Female</v>
      </c>
      <c r="M778" t="str">
        <f t="shared" si="74"/>
        <v>Jon Duarte</v>
      </c>
      <c r="N778" s="4" t="str">
        <f t="shared" si="75"/>
        <v>Orthopedics</v>
      </c>
      <c r="O778" s="6">
        <f t="shared" si="76"/>
        <v>486.07</v>
      </c>
      <c r="P778" s="4" t="str">
        <f t="shared" si="77"/>
        <v>Yes</v>
      </c>
      <c r="Q778" s="4" t="str">
        <f>IF(OR(A778="",C778="",L778="Missing",M778="Missing",O778="0.00",K778="Missing"),"Review","OK")</f>
        <v>OK</v>
      </c>
    </row>
    <row r="779" spans="1:17" x14ac:dyDescent="0.3">
      <c r="A779">
        <v>1018</v>
      </c>
      <c r="B779" t="s">
        <v>2474</v>
      </c>
      <c r="C779">
        <v>70</v>
      </c>
      <c r="D779" t="s">
        <v>11</v>
      </c>
      <c r="E779" s="3">
        <v>45778</v>
      </c>
      <c r="F779" s="3">
        <v>45552</v>
      </c>
      <c r="G779" t="s">
        <v>2475</v>
      </c>
      <c r="H779" t="s">
        <v>13</v>
      </c>
      <c r="I779" t="s">
        <v>2476</v>
      </c>
      <c r="J779">
        <v>1</v>
      </c>
      <c r="K779" t="str">
        <f t="shared" si="72"/>
        <v>Jessica Ali</v>
      </c>
      <c r="L779" t="str">
        <f t="shared" si="73"/>
        <v>Female</v>
      </c>
      <c r="M779" t="str">
        <f t="shared" si="74"/>
        <v>Willie Rose</v>
      </c>
      <c r="N779" s="4" t="str">
        <f t="shared" si="75"/>
        <v>Cardiology</v>
      </c>
      <c r="O779" s="6">
        <f t="shared" si="76"/>
        <v>73.349999999999994</v>
      </c>
      <c r="P779" s="4" t="str">
        <f t="shared" si="77"/>
        <v>Yes</v>
      </c>
      <c r="Q779" s="4" t="str">
        <f>IF(OR(A779="",C779="",L779="Missing",M779="Missing",O779="0.00",K779="Missing"),"Review","OK")</f>
        <v>OK</v>
      </c>
    </row>
    <row r="780" spans="1:17" x14ac:dyDescent="0.3">
      <c r="A780">
        <v>1033</v>
      </c>
      <c r="B780" t="s">
        <v>2477</v>
      </c>
      <c r="C780">
        <v>75</v>
      </c>
      <c r="D780" t="s">
        <v>41</v>
      </c>
      <c r="E780" s="3">
        <v>46075</v>
      </c>
      <c r="F780" s="3">
        <v>45713</v>
      </c>
      <c r="G780" t="s">
        <v>2478</v>
      </c>
      <c r="H780" t="s">
        <v>29</v>
      </c>
      <c r="I780" t="s">
        <v>2479</v>
      </c>
      <c r="J780" t="s">
        <v>39</v>
      </c>
      <c r="K780" t="str">
        <f t="shared" si="72"/>
        <v>Bridget Cooley</v>
      </c>
      <c r="L780" t="str">
        <f t="shared" si="73"/>
        <v>Female</v>
      </c>
      <c r="M780" t="str">
        <f t="shared" si="74"/>
        <v>Ashley Edwards</v>
      </c>
      <c r="N780" s="4" t="str">
        <f t="shared" si="75"/>
        <v>General</v>
      </c>
      <c r="O780" s="6">
        <f t="shared" si="76"/>
        <v>144.78</v>
      </c>
      <c r="P780" s="4" t="str">
        <f t="shared" si="77"/>
        <v>Yes</v>
      </c>
      <c r="Q780" s="4" t="str">
        <f>IF(OR(A780="",C780="",L780="Missing",M780="Missing",O780="0.00",K780="Missing"),"Review","OK")</f>
        <v>OK</v>
      </c>
    </row>
    <row r="781" spans="1:17" x14ac:dyDescent="0.3">
      <c r="A781">
        <v>1094</v>
      </c>
      <c r="B781" t="s">
        <v>2480</v>
      </c>
      <c r="C781">
        <v>87</v>
      </c>
      <c r="D781" t="s">
        <v>76</v>
      </c>
      <c r="E781" s="3">
        <v>45952</v>
      </c>
      <c r="F781" s="3" t="s">
        <v>2481</v>
      </c>
      <c r="G781" t="s">
        <v>2482</v>
      </c>
      <c r="H781" t="s">
        <v>13</v>
      </c>
      <c r="I781" t="s">
        <v>2483</v>
      </c>
      <c r="J781">
        <v>1</v>
      </c>
      <c r="K781" t="str">
        <f t="shared" si="72"/>
        <v>Brad Hill</v>
      </c>
      <c r="L781" t="str">
        <f t="shared" si="73"/>
        <v>Male</v>
      </c>
      <c r="M781" t="str">
        <f t="shared" si="74"/>
        <v>Emily Joseph</v>
      </c>
      <c r="N781" s="4" t="str">
        <f t="shared" si="75"/>
        <v>Cardiology</v>
      </c>
      <c r="O781" s="6">
        <f t="shared" si="76"/>
        <v>92.16</v>
      </c>
      <c r="P781" s="4" t="str">
        <f t="shared" si="77"/>
        <v>Yes</v>
      </c>
      <c r="Q781" s="4" t="str">
        <f>IF(OR(A781="",C781="",L781="Missing",M781="Missing",O781="0.00",K781="Missing"),"Review","OK")</f>
        <v>OK</v>
      </c>
    </row>
    <row r="782" spans="1:17" x14ac:dyDescent="0.3">
      <c r="A782">
        <v>1078</v>
      </c>
      <c r="B782" t="s">
        <v>2484</v>
      </c>
      <c r="C782">
        <v>52</v>
      </c>
      <c r="D782" t="s">
        <v>11</v>
      </c>
      <c r="E782" s="3">
        <v>45985</v>
      </c>
      <c r="F782" s="3">
        <v>45422</v>
      </c>
      <c r="G782" t="s">
        <v>2485</v>
      </c>
      <c r="H782" t="s">
        <v>13</v>
      </c>
      <c r="I782" t="s">
        <v>2486</v>
      </c>
      <c r="J782" t="s">
        <v>65</v>
      </c>
      <c r="K782" t="str">
        <f t="shared" si="72"/>
        <v>Nathan Murphy</v>
      </c>
      <c r="L782" t="str">
        <f t="shared" si="73"/>
        <v>Female</v>
      </c>
      <c r="M782" t="str">
        <f t="shared" si="74"/>
        <v>Kerry Rowe</v>
      </c>
      <c r="N782" s="4" t="str">
        <f t="shared" si="75"/>
        <v>Cardiology</v>
      </c>
      <c r="O782" s="6">
        <f t="shared" si="76"/>
        <v>164.9</v>
      </c>
      <c r="P782" s="4" t="str">
        <f t="shared" si="77"/>
        <v>No</v>
      </c>
      <c r="Q782" s="4" t="str">
        <f>IF(OR(A782="",C782="",L782="Missing",M782="Missing",O782="0.00",K782="Missing"),"Review","OK")</f>
        <v>OK</v>
      </c>
    </row>
    <row r="783" spans="1:17" x14ac:dyDescent="0.3">
      <c r="A783">
        <v>1072</v>
      </c>
      <c r="B783" t="s">
        <v>2487</v>
      </c>
      <c r="C783">
        <v>86</v>
      </c>
      <c r="D783" t="s">
        <v>11</v>
      </c>
      <c r="E783" s="3">
        <v>45842</v>
      </c>
      <c r="F783" s="3">
        <v>45676</v>
      </c>
      <c r="G783" t="s">
        <v>2488</v>
      </c>
      <c r="H783" t="s">
        <v>19</v>
      </c>
      <c r="I783" t="s">
        <v>2489</v>
      </c>
      <c r="J783" t="s">
        <v>21</v>
      </c>
      <c r="K783" t="str">
        <f t="shared" si="72"/>
        <v>Stephanie Caldwell Md</v>
      </c>
      <c r="L783" t="str">
        <f t="shared" si="73"/>
        <v>Female</v>
      </c>
      <c r="M783" t="str">
        <f t="shared" si="74"/>
        <v>Darrell Mendez</v>
      </c>
      <c r="N783" s="4" t="str">
        <f t="shared" si="75"/>
        <v>Orthopedics</v>
      </c>
      <c r="O783" s="6">
        <f t="shared" si="76"/>
        <v>74.84</v>
      </c>
      <c r="P783" s="4" t="str">
        <f t="shared" si="77"/>
        <v>Yes</v>
      </c>
      <c r="Q783" s="4" t="str">
        <f>IF(OR(A783="",C783="",L783="Missing",M783="Missing",O783="0.00",K783="Missing"),"Review","OK")</f>
        <v>OK</v>
      </c>
    </row>
    <row r="784" spans="1:17" x14ac:dyDescent="0.3">
      <c r="A784">
        <v>1011</v>
      </c>
      <c r="B784" t="s">
        <v>2490</v>
      </c>
      <c r="C784">
        <v>65</v>
      </c>
      <c r="D784" t="s">
        <v>11</v>
      </c>
      <c r="E784" s="3">
        <v>45923</v>
      </c>
      <c r="F784" s="3">
        <v>45295</v>
      </c>
      <c r="G784" t="s">
        <v>32</v>
      </c>
      <c r="H784" t="s">
        <v>19</v>
      </c>
      <c r="I784" t="s">
        <v>2491</v>
      </c>
      <c r="J784" t="s">
        <v>21</v>
      </c>
      <c r="K784" t="str">
        <f t="shared" si="72"/>
        <v>Henry Carlson</v>
      </c>
      <c r="L784" t="str">
        <f t="shared" si="73"/>
        <v>Female</v>
      </c>
      <c r="M784" t="str">
        <f t="shared" si="74"/>
        <v>Benjamin Brown</v>
      </c>
      <c r="N784" s="4" t="str">
        <f t="shared" si="75"/>
        <v>Orthopedics</v>
      </c>
      <c r="O784" s="6">
        <f t="shared" si="76"/>
        <v>230.11</v>
      </c>
      <c r="P784" s="4" t="str">
        <f t="shared" si="77"/>
        <v>Yes</v>
      </c>
      <c r="Q784" s="4" t="str">
        <f>IF(OR(A784="",C784="",L784="Missing",M784="Missing",O784="0.00",K784="Missing"),"Review","OK")</f>
        <v>OK</v>
      </c>
    </row>
    <row r="785" spans="1:17" x14ac:dyDescent="0.3">
      <c r="A785">
        <v>1045</v>
      </c>
      <c r="B785" t="s">
        <v>2492</v>
      </c>
      <c r="C785">
        <v>65</v>
      </c>
      <c r="D785">
        <v>1</v>
      </c>
      <c r="E785" s="3">
        <v>45744</v>
      </c>
      <c r="F785" s="3">
        <v>45661</v>
      </c>
      <c r="G785" t="s">
        <v>2493</v>
      </c>
      <c r="H785" t="s">
        <v>19</v>
      </c>
      <c r="I785" t="s">
        <v>2494</v>
      </c>
      <c r="J785" t="s">
        <v>31</v>
      </c>
      <c r="K785" t="str">
        <f t="shared" si="72"/>
        <v>Michael Evans</v>
      </c>
      <c r="L785" t="str">
        <f t="shared" si="73"/>
        <v>Female</v>
      </c>
      <c r="M785" t="str">
        <f t="shared" si="74"/>
        <v>Manuel Vargas</v>
      </c>
      <c r="N785" s="4" t="str">
        <f t="shared" si="75"/>
        <v>Orthopedics</v>
      </c>
      <c r="O785" s="6">
        <f t="shared" si="76"/>
        <v>304.67</v>
      </c>
      <c r="P785" s="4" t="str">
        <f t="shared" si="77"/>
        <v>No</v>
      </c>
      <c r="Q785" s="4" t="str">
        <f>IF(OR(A785="",C785="",L785="Missing",M785="Missing",O785="0.00",K785="Missing"),"Review","OK")</f>
        <v>OK</v>
      </c>
    </row>
    <row r="786" spans="1:17" x14ac:dyDescent="0.3">
      <c r="A786">
        <v>1095</v>
      </c>
      <c r="B786" t="s">
        <v>183</v>
      </c>
      <c r="C786">
        <v>73</v>
      </c>
      <c r="D786" t="s">
        <v>56</v>
      </c>
      <c r="E786" s="3">
        <v>46022</v>
      </c>
      <c r="F786" s="3">
        <v>45640</v>
      </c>
      <c r="G786" t="s">
        <v>2495</v>
      </c>
      <c r="H786" t="s">
        <v>25</v>
      </c>
      <c r="I786" t="s">
        <v>2496</v>
      </c>
      <c r="J786" t="s">
        <v>39</v>
      </c>
      <c r="K786" t="str">
        <f t="shared" si="72"/>
        <v>Regina Wilson</v>
      </c>
      <c r="L786" t="str">
        <f t="shared" si="73"/>
        <v>Male</v>
      </c>
      <c r="M786" t="str">
        <f t="shared" si="74"/>
        <v>Heidi Hamilton</v>
      </c>
      <c r="N786" s="4" t="str">
        <f t="shared" si="75"/>
        <v>Neurology</v>
      </c>
      <c r="O786" s="6">
        <f t="shared" si="76"/>
        <v>275.12</v>
      </c>
      <c r="P786" s="4" t="str">
        <f t="shared" si="77"/>
        <v>Yes</v>
      </c>
      <c r="Q786" s="4" t="str">
        <f>IF(OR(A786="",C786="",L786="Missing",M786="Missing",O786="0.00",K786="Missing"),"Review","OK")</f>
        <v>OK</v>
      </c>
    </row>
    <row r="787" spans="1:17" x14ac:dyDescent="0.3">
      <c r="A787">
        <v>1074</v>
      </c>
      <c r="B787" t="s">
        <v>2497</v>
      </c>
      <c r="C787">
        <v>64</v>
      </c>
      <c r="D787" t="s">
        <v>23</v>
      </c>
      <c r="E787" s="3" t="s">
        <v>622</v>
      </c>
      <c r="F787" s="3">
        <v>46063</v>
      </c>
      <c r="G787" t="s">
        <v>2498</v>
      </c>
      <c r="H787" t="s">
        <v>25</v>
      </c>
      <c r="I787" t="s">
        <v>2499</v>
      </c>
      <c r="J787" t="s">
        <v>21</v>
      </c>
      <c r="K787" t="str">
        <f t="shared" si="72"/>
        <v>Jeremiah Cruz</v>
      </c>
      <c r="L787" t="str">
        <f t="shared" si="73"/>
        <v>Male</v>
      </c>
      <c r="M787" t="str">
        <f t="shared" si="74"/>
        <v>Matthew Pratt</v>
      </c>
      <c r="N787" s="4" t="str">
        <f t="shared" si="75"/>
        <v>Neurology</v>
      </c>
      <c r="O787" s="6">
        <f t="shared" si="76"/>
        <v>177.85</v>
      </c>
      <c r="P787" s="4" t="str">
        <f t="shared" si="77"/>
        <v>Yes</v>
      </c>
      <c r="Q787" s="4" t="str">
        <f>IF(OR(A787="",C787="",L787="Missing",M787="Missing",O787="0.00",K787="Missing"),"Review","OK")</f>
        <v>OK</v>
      </c>
    </row>
    <row r="788" spans="1:17" x14ac:dyDescent="0.3">
      <c r="A788">
        <v>1080</v>
      </c>
      <c r="B788" t="s">
        <v>2500</v>
      </c>
      <c r="C788">
        <v>49</v>
      </c>
      <c r="D788" t="s">
        <v>56</v>
      </c>
      <c r="E788" s="3">
        <v>45960</v>
      </c>
      <c r="F788" s="3">
        <v>45820</v>
      </c>
      <c r="G788" t="s">
        <v>2501</v>
      </c>
      <c r="H788" t="s">
        <v>25</v>
      </c>
      <c r="I788" t="s">
        <v>2502</v>
      </c>
      <c r="J788" t="s">
        <v>65</v>
      </c>
      <c r="K788" t="str">
        <f t="shared" si="72"/>
        <v>Nicholas Vasquez</v>
      </c>
      <c r="L788" t="str">
        <f t="shared" si="73"/>
        <v>Male</v>
      </c>
      <c r="M788" t="str">
        <f t="shared" si="74"/>
        <v>Jennifer Anderson</v>
      </c>
      <c r="N788" s="4" t="str">
        <f t="shared" si="75"/>
        <v>Neurology</v>
      </c>
      <c r="O788" s="6">
        <f t="shared" si="76"/>
        <v>410.8</v>
      </c>
      <c r="P788" s="4" t="str">
        <f t="shared" si="77"/>
        <v>No</v>
      </c>
      <c r="Q788" s="4" t="str">
        <f>IF(OR(A788="",C788="",L788="Missing",M788="Missing",O788="0.00",K788="Missing"),"Review","OK")</f>
        <v>OK</v>
      </c>
    </row>
    <row r="789" spans="1:17" x14ac:dyDescent="0.3">
      <c r="A789">
        <v>1069</v>
      </c>
      <c r="B789" t="s">
        <v>2503</v>
      </c>
      <c r="C789">
        <v>48</v>
      </c>
      <c r="D789" t="s">
        <v>16</v>
      </c>
      <c r="E789" s="3">
        <v>45931</v>
      </c>
      <c r="F789" s="3">
        <v>45599</v>
      </c>
      <c r="G789" t="s">
        <v>2504</v>
      </c>
      <c r="H789" t="s">
        <v>13</v>
      </c>
      <c r="I789" t="s">
        <v>2505</v>
      </c>
      <c r="J789" t="s">
        <v>31</v>
      </c>
      <c r="K789" t="str">
        <f t="shared" si="72"/>
        <v>Cheryl Smith</v>
      </c>
      <c r="L789" t="str">
        <f t="shared" si="73"/>
        <v>Female</v>
      </c>
      <c r="M789" t="str">
        <f t="shared" si="74"/>
        <v>Sarah Harper Dds</v>
      </c>
      <c r="N789" s="4" t="str">
        <f t="shared" si="75"/>
        <v>Cardiology</v>
      </c>
      <c r="O789" s="6">
        <f t="shared" si="76"/>
        <v>97.46</v>
      </c>
      <c r="P789" s="4" t="str">
        <f t="shared" si="77"/>
        <v>No</v>
      </c>
      <c r="Q789" s="4" t="str">
        <f>IF(OR(A789="",C789="",L789="Missing",M789="Missing",O789="0.00",K789="Missing"),"Review","OK")</f>
        <v>OK</v>
      </c>
    </row>
    <row r="790" spans="1:17" x14ac:dyDescent="0.3">
      <c r="A790">
        <v>1051</v>
      </c>
      <c r="B790" t="s">
        <v>2506</v>
      </c>
      <c r="C790">
        <v>63</v>
      </c>
      <c r="D790">
        <v>0</v>
      </c>
      <c r="E790" s="3">
        <v>46083</v>
      </c>
      <c r="F790" s="3">
        <v>45720</v>
      </c>
      <c r="G790" t="s">
        <v>2507</v>
      </c>
      <c r="H790" t="s">
        <v>29</v>
      </c>
      <c r="I790" t="s">
        <v>2508</v>
      </c>
      <c r="J790" t="s">
        <v>39</v>
      </c>
      <c r="K790" t="str">
        <f t="shared" si="72"/>
        <v>Matthew Moore</v>
      </c>
      <c r="L790" t="str">
        <f t="shared" si="73"/>
        <v>Male</v>
      </c>
      <c r="M790" t="str">
        <f t="shared" si="74"/>
        <v>Erica Riley</v>
      </c>
      <c r="N790" s="4" t="str">
        <f t="shared" si="75"/>
        <v>General</v>
      </c>
      <c r="O790" s="6">
        <f t="shared" si="76"/>
        <v>116.32</v>
      </c>
      <c r="P790" s="4" t="str">
        <f t="shared" si="77"/>
        <v>Yes</v>
      </c>
      <c r="Q790" s="4" t="str">
        <f>IF(OR(A790="",C790="",L790="Missing",M790="Missing",O790="0.00",K790="Missing"),"Review","OK")</f>
        <v>OK</v>
      </c>
    </row>
    <row r="791" spans="1:17" x14ac:dyDescent="0.3">
      <c r="A791">
        <v>1092</v>
      </c>
      <c r="B791" t="s">
        <v>2509</v>
      </c>
      <c r="C791">
        <v>44</v>
      </c>
      <c r="D791">
        <v>0</v>
      </c>
      <c r="E791" s="3">
        <v>45992</v>
      </c>
      <c r="F791" s="3">
        <v>45504</v>
      </c>
      <c r="G791" t="s">
        <v>2510</v>
      </c>
      <c r="H791" t="s">
        <v>19</v>
      </c>
      <c r="I791" t="s">
        <v>2511</v>
      </c>
      <c r="J791" t="s">
        <v>21</v>
      </c>
      <c r="K791" t="str">
        <f t="shared" si="72"/>
        <v>Katherine Wilson</v>
      </c>
      <c r="L791" t="str">
        <f t="shared" si="73"/>
        <v>Male</v>
      </c>
      <c r="M791" t="str">
        <f t="shared" si="74"/>
        <v>Mitchell Sims</v>
      </c>
      <c r="N791" s="4" t="str">
        <f t="shared" si="75"/>
        <v>Orthopedics</v>
      </c>
      <c r="O791" s="6">
        <f t="shared" si="76"/>
        <v>203.3</v>
      </c>
      <c r="P791" s="4" t="str">
        <f t="shared" si="77"/>
        <v>Yes</v>
      </c>
      <c r="Q791" s="4" t="str">
        <f>IF(OR(A791="",C791="",L791="Missing",M791="Missing",O791="0.00",K791="Missing"),"Review","OK")</f>
        <v>OK</v>
      </c>
    </row>
    <row r="792" spans="1:17" x14ac:dyDescent="0.3">
      <c r="A792">
        <v>1093</v>
      </c>
      <c r="B792" t="s">
        <v>216</v>
      </c>
      <c r="C792">
        <v>23</v>
      </c>
      <c r="D792" t="s">
        <v>76</v>
      </c>
      <c r="E792" s="3">
        <v>45909</v>
      </c>
      <c r="F792" s="3">
        <v>45621</v>
      </c>
      <c r="G792" t="s">
        <v>2512</v>
      </c>
      <c r="H792" t="s">
        <v>29</v>
      </c>
      <c r="I792" t="s">
        <v>2513</v>
      </c>
      <c r="J792">
        <v>0</v>
      </c>
      <c r="K792" t="str">
        <f t="shared" si="72"/>
        <v>James Miller</v>
      </c>
      <c r="L792" t="str">
        <f t="shared" si="73"/>
        <v>Male</v>
      </c>
      <c r="M792" t="str">
        <f t="shared" si="74"/>
        <v>Dawn Collins</v>
      </c>
      <c r="N792" s="4" t="str">
        <f t="shared" si="75"/>
        <v>General</v>
      </c>
      <c r="O792" s="6">
        <f t="shared" si="76"/>
        <v>139.43</v>
      </c>
      <c r="P792" s="4" t="str">
        <f t="shared" si="77"/>
        <v>No</v>
      </c>
      <c r="Q792" s="4" t="str">
        <f>IF(OR(A792="",C792="",L792="Missing",M792="Missing",O792="0.00",K792="Missing"),"Review","OK")</f>
        <v>OK</v>
      </c>
    </row>
    <row r="793" spans="1:17" x14ac:dyDescent="0.3">
      <c r="A793">
        <v>1075</v>
      </c>
      <c r="B793" t="s">
        <v>2514</v>
      </c>
      <c r="C793">
        <v>48</v>
      </c>
      <c r="D793">
        <v>0</v>
      </c>
      <c r="E793" s="3">
        <v>45828</v>
      </c>
      <c r="F793" s="3">
        <v>45421</v>
      </c>
      <c r="G793" t="s">
        <v>2515</v>
      </c>
      <c r="H793" t="s">
        <v>29</v>
      </c>
      <c r="J793">
        <v>1</v>
      </c>
      <c r="K793" t="str">
        <f t="shared" si="72"/>
        <v>John Rich</v>
      </c>
      <c r="L793" t="str">
        <f t="shared" si="73"/>
        <v>Male</v>
      </c>
      <c r="M793" t="str">
        <f t="shared" si="74"/>
        <v>Jennifer Johnston</v>
      </c>
      <c r="N793" s="4" t="str">
        <f t="shared" si="75"/>
        <v>General</v>
      </c>
      <c r="O793" s="6" t="str">
        <f t="shared" si="76"/>
        <v>0.00</v>
      </c>
      <c r="P793" s="4" t="str">
        <f t="shared" si="77"/>
        <v>Yes</v>
      </c>
      <c r="Q793" s="4" t="str">
        <f>IF(OR(A793="",C793="",L793="Missing",M793="Missing",O793="0.00",K793="Missing"),"Review","OK")</f>
        <v>Review</v>
      </c>
    </row>
    <row r="794" spans="1:17" x14ac:dyDescent="0.3">
      <c r="A794">
        <v>1055</v>
      </c>
      <c r="B794" t="s">
        <v>2516</v>
      </c>
      <c r="C794">
        <v>71</v>
      </c>
      <c r="D794" t="s">
        <v>76</v>
      </c>
      <c r="E794" s="3">
        <v>45794</v>
      </c>
      <c r="F794" s="3" t="s">
        <v>2517</v>
      </c>
      <c r="G794" t="s">
        <v>2518</v>
      </c>
      <c r="H794" t="s">
        <v>19</v>
      </c>
      <c r="I794" t="s">
        <v>2519</v>
      </c>
      <c r="J794" t="s">
        <v>21</v>
      </c>
      <c r="K794" t="str">
        <f t="shared" si="72"/>
        <v>Kathleen Oneal</v>
      </c>
      <c r="L794" t="str">
        <f t="shared" si="73"/>
        <v>Male</v>
      </c>
      <c r="M794" t="str">
        <f t="shared" si="74"/>
        <v>Jacob Andrade</v>
      </c>
      <c r="N794" s="4" t="str">
        <f t="shared" si="75"/>
        <v>Orthopedics</v>
      </c>
      <c r="O794" s="6">
        <f t="shared" si="76"/>
        <v>74.36</v>
      </c>
      <c r="P794" s="4" t="str">
        <f t="shared" si="77"/>
        <v>Yes</v>
      </c>
      <c r="Q794" s="4" t="str">
        <f>IF(OR(A794="",C794="",L794="Missing",M794="Missing",O794="0.00",K794="Missing"),"Review","OK")</f>
        <v>OK</v>
      </c>
    </row>
    <row r="795" spans="1:17" x14ac:dyDescent="0.3">
      <c r="A795">
        <v>1033</v>
      </c>
      <c r="B795" t="s">
        <v>2520</v>
      </c>
      <c r="C795">
        <v>74</v>
      </c>
      <c r="D795">
        <v>0</v>
      </c>
      <c r="E795" s="3">
        <v>45886</v>
      </c>
      <c r="F795" s="3">
        <v>45586</v>
      </c>
      <c r="G795" t="s">
        <v>2521</v>
      </c>
      <c r="H795" t="s">
        <v>29</v>
      </c>
      <c r="I795" t="s">
        <v>2522</v>
      </c>
      <c r="J795">
        <v>0</v>
      </c>
      <c r="K795" t="str">
        <f t="shared" si="72"/>
        <v>Courtney Hunt</v>
      </c>
      <c r="L795" t="str">
        <f t="shared" si="73"/>
        <v>Male</v>
      </c>
      <c r="M795" t="str">
        <f t="shared" si="74"/>
        <v>Mrs. Kayla Peterson</v>
      </c>
      <c r="N795" s="4" t="str">
        <f t="shared" si="75"/>
        <v>General</v>
      </c>
      <c r="O795" s="6">
        <f t="shared" si="76"/>
        <v>303.91000000000003</v>
      </c>
      <c r="P795" s="4" t="str">
        <f t="shared" si="77"/>
        <v>No</v>
      </c>
      <c r="Q795" s="4" t="str">
        <f>IF(OR(A795="",C795="",L795="Missing",M795="Missing",O795="0.00",K795="Missing"),"Review","OK")</f>
        <v>OK</v>
      </c>
    </row>
    <row r="796" spans="1:17" x14ac:dyDescent="0.3">
      <c r="A796">
        <v>1074</v>
      </c>
      <c r="B796" t="s">
        <v>2523</v>
      </c>
      <c r="C796">
        <v>48</v>
      </c>
      <c r="D796">
        <v>0</v>
      </c>
      <c r="E796" s="3">
        <v>45755</v>
      </c>
      <c r="F796" s="3">
        <v>45718</v>
      </c>
      <c r="G796" t="s">
        <v>2524</v>
      </c>
      <c r="H796" t="s">
        <v>13</v>
      </c>
      <c r="I796" t="s">
        <v>2525</v>
      </c>
      <c r="J796">
        <v>0</v>
      </c>
      <c r="K796" t="str">
        <f t="shared" si="72"/>
        <v>Steven Wilson</v>
      </c>
      <c r="L796" t="str">
        <f t="shared" si="73"/>
        <v>Male</v>
      </c>
      <c r="M796" t="str">
        <f t="shared" si="74"/>
        <v>Hannah Herrera</v>
      </c>
      <c r="N796" s="4" t="str">
        <f t="shared" si="75"/>
        <v>Cardiology</v>
      </c>
      <c r="O796" s="6">
        <f t="shared" si="76"/>
        <v>77.48</v>
      </c>
      <c r="P796" s="4" t="str">
        <f t="shared" si="77"/>
        <v>No</v>
      </c>
      <c r="Q796" s="4" t="str">
        <f>IF(OR(A796="",C796="",L796="Missing",M796="Missing",O796="0.00",K796="Missing"),"Review","OK")</f>
        <v>OK</v>
      </c>
    </row>
    <row r="797" spans="1:17" x14ac:dyDescent="0.3">
      <c r="A797">
        <v>1039</v>
      </c>
      <c r="B797" t="s">
        <v>2526</v>
      </c>
      <c r="C797">
        <v>58</v>
      </c>
      <c r="D797" t="s">
        <v>76</v>
      </c>
      <c r="E797" s="3">
        <v>45812</v>
      </c>
      <c r="F797" s="3">
        <v>45509</v>
      </c>
      <c r="G797" t="s">
        <v>2527</v>
      </c>
      <c r="H797" t="s">
        <v>25</v>
      </c>
      <c r="I797" t="s">
        <v>2528</v>
      </c>
      <c r="J797">
        <v>1</v>
      </c>
      <c r="K797" t="str">
        <f t="shared" si="72"/>
        <v>Meghan Sanchez</v>
      </c>
      <c r="L797" t="str">
        <f t="shared" si="73"/>
        <v>Male</v>
      </c>
      <c r="M797" t="str">
        <f t="shared" si="74"/>
        <v>Judith Watson</v>
      </c>
      <c r="N797" s="4" t="str">
        <f t="shared" si="75"/>
        <v>Neurology</v>
      </c>
      <c r="O797" s="6">
        <f t="shared" si="76"/>
        <v>282.36</v>
      </c>
      <c r="P797" s="4" t="str">
        <f t="shared" si="77"/>
        <v>Yes</v>
      </c>
      <c r="Q797" s="4" t="str">
        <f>IF(OR(A797="",C797="",L797="Missing",M797="Missing",O797="0.00",K797="Missing"),"Review","OK")</f>
        <v>OK</v>
      </c>
    </row>
    <row r="798" spans="1:17" x14ac:dyDescent="0.3">
      <c r="A798">
        <v>1050</v>
      </c>
      <c r="B798" t="s">
        <v>2529</v>
      </c>
      <c r="C798">
        <v>46</v>
      </c>
      <c r="D798" t="s">
        <v>41</v>
      </c>
      <c r="E798" s="3">
        <v>45763</v>
      </c>
      <c r="F798" s="3">
        <v>45589</v>
      </c>
      <c r="G798" t="s">
        <v>2530</v>
      </c>
      <c r="H798" t="s">
        <v>13</v>
      </c>
      <c r="J798">
        <v>0</v>
      </c>
      <c r="K798" t="str">
        <f t="shared" si="72"/>
        <v>Amanda Johnston</v>
      </c>
      <c r="L798" t="str">
        <f t="shared" si="73"/>
        <v>Female</v>
      </c>
      <c r="M798" t="str">
        <f t="shared" si="74"/>
        <v>Angela Burton</v>
      </c>
      <c r="N798" s="4" t="str">
        <f t="shared" si="75"/>
        <v>Cardiology</v>
      </c>
      <c r="O798" s="6" t="str">
        <f t="shared" si="76"/>
        <v>0.00</v>
      </c>
      <c r="P798" s="4" t="str">
        <f t="shared" si="77"/>
        <v>No</v>
      </c>
      <c r="Q798" s="4" t="str">
        <f>IF(OR(A798="",C798="",L798="Missing",M798="Missing",O798="0.00",K798="Missing"),"Review","OK")</f>
        <v>Review</v>
      </c>
    </row>
    <row r="799" spans="1:17" x14ac:dyDescent="0.3">
      <c r="A799">
        <v>1056</v>
      </c>
      <c r="B799" t="s">
        <v>2531</v>
      </c>
      <c r="C799">
        <v>71</v>
      </c>
      <c r="D799" t="s">
        <v>41</v>
      </c>
      <c r="E799" s="3">
        <v>45984</v>
      </c>
      <c r="F799" s="3" t="s">
        <v>2532</v>
      </c>
      <c r="G799" t="s">
        <v>2533</v>
      </c>
      <c r="H799" t="s">
        <v>29</v>
      </c>
      <c r="I799" t="s">
        <v>2534</v>
      </c>
      <c r="J799">
        <v>0</v>
      </c>
      <c r="K799" t="str">
        <f t="shared" si="72"/>
        <v>Richard Jones</v>
      </c>
      <c r="L799" t="str">
        <f t="shared" si="73"/>
        <v>Female</v>
      </c>
      <c r="M799" t="str">
        <f t="shared" si="74"/>
        <v>Stephen Cooper</v>
      </c>
      <c r="N799" s="4" t="str">
        <f t="shared" si="75"/>
        <v>General</v>
      </c>
      <c r="O799" s="6">
        <f t="shared" si="76"/>
        <v>243.46</v>
      </c>
      <c r="P799" s="4" t="str">
        <f t="shared" si="77"/>
        <v>No</v>
      </c>
      <c r="Q799" s="4" t="str">
        <f>IF(OR(A799="",C799="",L799="Missing",M799="Missing",O799="0.00",K799="Missing"),"Review","OK")</f>
        <v>OK</v>
      </c>
    </row>
    <row r="800" spans="1:17" x14ac:dyDescent="0.3">
      <c r="A800">
        <v>1025</v>
      </c>
      <c r="B800" t="s">
        <v>2535</v>
      </c>
      <c r="C800">
        <v>28</v>
      </c>
      <c r="D800">
        <v>1</v>
      </c>
      <c r="E800" s="3">
        <v>45956</v>
      </c>
      <c r="F800" s="3">
        <v>45710</v>
      </c>
      <c r="G800" t="s">
        <v>2536</v>
      </c>
      <c r="H800" t="s">
        <v>19</v>
      </c>
      <c r="I800" t="s">
        <v>2537</v>
      </c>
      <c r="J800" t="s">
        <v>39</v>
      </c>
      <c r="K800" t="str">
        <f t="shared" si="72"/>
        <v>Lindsay Harris</v>
      </c>
      <c r="L800" t="str">
        <f t="shared" si="73"/>
        <v>Female</v>
      </c>
      <c r="M800" t="str">
        <f t="shared" si="74"/>
        <v>Ryan Hughes</v>
      </c>
      <c r="N800" s="4" t="str">
        <f t="shared" si="75"/>
        <v>Orthopedics</v>
      </c>
      <c r="O800" s="6">
        <f t="shared" si="76"/>
        <v>444.38</v>
      </c>
      <c r="P800" s="4" t="str">
        <f t="shared" si="77"/>
        <v>Yes</v>
      </c>
      <c r="Q800" s="4" t="str">
        <f>IF(OR(A800="",C800="",L800="Missing",M800="Missing",O800="0.00",K800="Missing"),"Review","OK")</f>
        <v>OK</v>
      </c>
    </row>
    <row r="801" spans="1:17" x14ac:dyDescent="0.3">
      <c r="A801">
        <v>1037</v>
      </c>
      <c r="B801" t="s">
        <v>2538</v>
      </c>
      <c r="C801">
        <v>39</v>
      </c>
      <c r="D801" t="s">
        <v>23</v>
      </c>
      <c r="E801" s="3" t="s">
        <v>2539</v>
      </c>
      <c r="F801" s="3">
        <v>45864</v>
      </c>
      <c r="G801" t="s">
        <v>2540</v>
      </c>
      <c r="H801" t="s">
        <v>29</v>
      </c>
      <c r="I801" t="s">
        <v>2541</v>
      </c>
      <c r="J801" t="s">
        <v>21</v>
      </c>
      <c r="K801" t="str">
        <f t="shared" si="72"/>
        <v>Kathy Banks</v>
      </c>
      <c r="L801" t="str">
        <f t="shared" si="73"/>
        <v>Male</v>
      </c>
      <c r="M801" t="str">
        <f t="shared" si="74"/>
        <v>Anna Yoder</v>
      </c>
      <c r="N801" s="4" t="str">
        <f t="shared" si="75"/>
        <v>General</v>
      </c>
      <c r="O801" s="6">
        <f t="shared" si="76"/>
        <v>319.04000000000002</v>
      </c>
      <c r="P801" s="4" t="str">
        <f t="shared" si="77"/>
        <v>Yes</v>
      </c>
      <c r="Q801" s="4" t="str">
        <f>IF(OR(A801="",C801="",L801="Missing",M801="Missing",O801="0.00",K801="Missing"),"Review","OK")</f>
        <v>OK</v>
      </c>
    </row>
    <row r="802" spans="1:17" x14ac:dyDescent="0.3">
      <c r="A802">
        <v>1010</v>
      </c>
      <c r="B802" t="s">
        <v>2542</v>
      </c>
      <c r="C802">
        <v>71</v>
      </c>
      <c r="D802" t="s">
        <v>41</v>
      </c>
      <c r="E802" s="3">
        <v>45838</v>
      </c>
      <c r="F802" s="3">
        <v>45517</v>
      </c>
      <c r="G802" t="s">
        <v>2543</v>
      </c>
      <c r="H802" t="s">
        <v>19</v>
      </c>
      <c r="I802" t="s">
        <v>2544</v>
      </c>
      <c r="J802" t="s">
        <v>21</v>
      </c>
      <c r="K802" t="str">
        <f t="shared" si="72"/>
        <v>Beth Murphy</v>
      </c>
      <c r="L802" t="str">
        <f t="shared" si="73"/>
        <v>Female</v>
      </c>
      <c r="M802" t="str">
        <f t="shared" si="74"/>
        <v>Adam Davis</v>
      </c>
      <c r="N802" s="4" t="str">
        <f t="shared" si="75"/>
        <v>Orthopedics</v>
      </c>
      <c r="O802" s="6">
        <f t="shared" si="76"/>
        <v>330.71</v>
      </c>
      <c r="P802" s="4" t="str">
        <f t="shared" si="77"/>
        <v>Yes</v>
      </c>
      <c r="Q802" s="4" t="str">
        <f>IF(OR(A802="",C802="",L802="Missing",M802="Missing",O802="0.00",K802="Missing"),"Review","OK")</f>
        <v>OK</v>
      </c>
    </row>
    <row r="803" spans="1:17" x14ac:dyDescent="0.3">
      <c r="A803">
        <v>1039</v>
      </c>
      <c r="B803" t="s">
        <v>2545</v>
      </c>
      <c r="C803">
        <v>46</v>
      </c>
      <c r="D803" t="s">
        <v>16</v>
      </c>
      <c r="E803" s="3">
        <v>45867</v>
      </c>
      <c r="F803" s="3">
        <v>45992</v>
      </c>
      <c r="G803" t="s">
        <v>2546</v>
      </c>
      <c r="H803" t="s">
        <v>13</v>
      </c>
      <c r="I803" t="s">
        <v>2547</v>
      </c>
      <c r="J803">
        <v>1</v>
      </c>
      <c r="K803" t="str">
        <f t="shared" si="72"/>
        <v>Barbara Johnston</v>
      </c>
      <c r="L803" t="str">
        <f t="shared" si="73"/>
        <v>Female</v>
      </c>
      <c r="M803" t="str">
        <f t="shared" si="74"/>
        <v>April Hood</v>
      </c>
      <c r="N803" s="4" t="str">
        <f t="shared" si="75"/>
        <v>Cardiology</v>
      </c>
      <c r="O803" s="6">
        <f t="shared" si="76"/>
        <v>160.18</v>
      </c>
      <c r="P803" s="4" t="str">
        <f t="shared" si="77"/>
        <v>Yes</v>
      </c>
      <c r="Q803" s="4" t="str">
        <f>IF(OR(A803="",C803="",L803="Missing",M803="Missing",O803="0.00",K803="Missing"),"Review","OK")</f>
        <v>OK</v>
      </c>
    </row>
    <row r="804" spans="1:17" x14ac:dyDescent="0.3">
      <c r="A804">
        <v>1040</v>
      </c>
      <c r="B804" t="s">
        <v>2548</v>
      </c>
      <c r="C804">
        <v>62</v>
      </c>
      <c r="D804" t="s">
        <v>56</v>
      </c>
      <c r="E804" s="3">
        <v>46043</v>
      </c>
      <c r="F804" s="3">
        <v>45639</v>
      </c>
      <c r="G804" t="s">
        <v>2549</v>
      </c>
      <c r="H804" t="s">
        <v>25</v>
      </c>
      <c r="I804" t="s">
        <v>2550</v>
      </c>
      <c r="J804" t="s">
        <v>39</v>
      </c>
      <c r="K804" t="str">
        <f t="shared" si="72"/>
        <v>Patrick Perez</v>
      </c>
      <c r="L804" t="str">
        <f t="shared" si="73"/>
        <v>Male</v>
      </c>
      <c r="M804" t="str">
        <f t="shared" si="74"/>
        <v>Jesse Edwards</v>
      </c>
      <c r="N804" s="4" t="str">
        <f t="shared" si="75"/>
        <v>Neurology</v>
      </c>
      <c r="O804" s="6">
        <f t="shared" si="76"/>
        <v>290.14</v>
      </c>
      <c r="P804" s="4" t="str">
        <f t="shared" si="77"/>
        <v>Yes</v>
      </c>
      <c r="Q804" s="4" t="str">
        <f>IF(OR(A804="",C804="",L804="Missing",M804="Missing",O804="0.00",K804="Missing"),"Review","OK")</f>
        <v>OK</v>
      </c>
    </row>
    <row r="805" spans="1:17" x14ac:dyDescent="0.3">
      <c r="A805">
        <v>1100</v>
      </c>
      <c r="B805" t="s">
        <v>2551</v>
      </c>
      <c r="C805">
        <v>52</v>
      </c>
      <c r="D805" t="s">
        <v>41</v>
      </c>
      <c r="E805" s="3">
        <v>45967</v>
      </c>
      <c r="F805" s="3">
        <v>45556</v>
      </c>
      <c r="G805" t="s">
        <v>2552</v>
      </c>
      <c r="H805" t="s">
        <v>25</v>
      </c>
      <c r="I805" t="s">
        <v>2553</v>
      </c>
      <c r="J805">
        <v>1</v>
      </c>
      <c r="K805" t="str">
        <f t="shared" si="72"/>
        <v>Sonia Moss</v>
      </c>
      <c r="L805" t="str">
        <f t="shared" si="73"/>
        <v>Female</v>
      </c>
      <c r="M805" t="str">
        <f t="shared" si="74"/>
        <v>Joy Armstrong</v>
      </c>
      <c r="N805" s="4" t="str">
        <f t="shared" si="75"/>
        <v>Neurology</v>
      </c>
      <c r="O805" s="6">
        <f t="shared" si="76"/>
        <v>244.09</v>
      </c>
      <c r="P805" s="4" t="str">
        <f t="shared" si="77"/>
        <v>Yes</v>
      </c>
      <c r="Q805" s="4" t="str">
        <f>IF(OR(A805="",C805="",L805="Missing",M805="Missing",O805="0.00",K805="Missing"),"Review","OK")</f>
        <v>OK</v>
      </c>
    </row>
    <row r="806" spans="1:17" x14ac:dyDescent="0.3">
      <c r="A806">
        <v>1071</v>
      </c>
      <c r="B806" t="s">
        <v>2554</v>
      </c>
      <c r="C806">
        <v>41</v>
      </c>
      <c r="D806" t="s">
        <v>11</v>
      </c>
      <c r="E806" s="3">
        <v>46056</v>
      </c>
      <c r="F806" s="3">
        <v>45927</v>
      </c>
      <c r="G806" t="s">
        <v>2555</v>
      </c>
      <c r="H806" t="s">
        <v>29</v>
      </c>
      <c r="I806" t="s">
        <v>2556</v>
      </c>
      <c r="J806" t="s">
        <v>65</v>
      </c>
      <c r="K806" t="str">
        <f t="shared" si="72"/>
        <v>Dana Mcclure</v>
      </c>
      <c r="L806" t="str">
        <f t="shared" si="73"/>
        <v>Female</v>
      </c>
      <c r="M806" t="str">
        <f t="shared" si="74"/>
        <v>Mark Norton</v>
      </c>
      <c r="N806" s="4" t="str">
        <f t="shared" si="75"/>
        <v>General</v>
      </c>
      <c r="O806" s="6">
        <f t="shared" si="76"/>
        <v>150.5</v>
      </c>
      <c r="P806" s="4" t="str">
        <f t="shared" si="77"/>
        <v>No</v>
      </c>
      <c r="Q806" s="4" t="str">
        <f>IF(OR(A806="",C806="",L806="Missing",M806="Missing",O806="0.00",K806="Missing"),"Review","OK")</f>
        <v>OK</v>
      </c>
    </row>
    <row r="807" spans="1:17" x14ac:dyDescent="0.3">
      <c r="A807">
        <v>1097</v>
      </c>
      <c r="B807" t="s">
        <v>2557</v>
      </c>
      <c r="C807">
        <v>88</v>
      </c>
      <c r="D807" t="s">
        <v>16</v>
      </c>
      <c r="E807" s="3">
        <v>46018</v>
      </c>
      <c r="F807" s="3">
        <v>45651</v>
      </c>
      <c r="G807" t="s">
        <v>2558</v>
      </c>
      <c r="H807" t="s">
        <v>29</v>
      </c>
      <c r="I807" t="s">
        <v>2559</v>
      </c>
      <c r="J807" t="s">
        <v>21</v>
      </c>
      <c r="K807" t="str">
        <f t="shared" si="72"/>
        <v>Ryan Williams</v>
      </c>
      <c r="L807" t="str">
        <f t="shared" si="73"/>
        <v>Female</v>
      </c>
      <c r="M807" t="str">
        <f t="shared" si="74"/>
        <v>Veronica Fry</v>
      </c>
      <c r="N807" s="4" t="str">
        <f t="shared" si="75"/>
        <v>General</v>
      </c>
      <c r="O807" s="6">
        <f t="shared" si="76"/>
        <v>398.47</v>
      </c>
      <c r="P807" s="4" t="str">
        <f t="shared" si="77"/>
        <v>Yes</v>
      </c>
      <c r="Q807" s="4" t="str">
        <f>IF(OR(A807="",C807="",L807="Missing",M807="Missing",O807="0.00",K807="Missing"),"Review","OK")</f>
        <v>OK</v>
      </c>
    </row>
    <row r="808" spans="1:17" x14ac:dyDescent="0.3">
      <c r="A808">
        <v>1047</v>
      </c>
      <c r="B808" t="s">
        <v>2560</v>
      </c>
      <c r="C808">
        <v>51</v>
      </c>
      <c r="D808">
        <v>1</v>
      </c>
      <c r="E808" s="3">
        <v>45962</v>
      </c>
      <c r="F808" s="3" t="s">
        <v>2561</v>
      </c>
      <c r="G808" t="s">
        <v>2562</v>
      </c>
      <c r="H808" t="s">
        <v>25</v>
      </c>
      <c r="I808" t="s">
        <v>2563</v>
      </c>
      <c r="J808">
        <v>1</v>
      </c>
      <c r="K808" t="str">
        <f t="shared" si="72"/>
        <v>Amy Baird</v>
      </c>
      <c r="L808" t="str">
        <f t="shared" si="73"/>
        <v>Female</v>
      </c>
      <c r="M808" t="str">
        <f t="shared" si="74"/>
        <v>Diana Jones</v>
      </c>
      <c r="N808" s="4" t="str">
        <f t="shared" si="75"/>
        <v>Neurology</v>
      </c>
      <c r="O808" s="6">
        <f t="shared" si="76"/>
        <v>262.16000000000003</v>
      </c>
      <c r="P808" s="4" t="str">
        <f t="shared" si="77"/>
        <v>Yes</v>
      </c>
      <c r="Q808" s="4" t="str">
        <f>IF(OR(A808="",C808="",L808="Missing",M808="Missing",O808="0.00",K808="Missing"),"Review","OK")</f>
        <v>OK</v>
      </c>
    </row>
    <row r="809" spans="1:17" x14ac:dyDescent="0.3">
      <c r="A809">
        <v>1041</v>
      </c>
      <c r="B809" t="s">
        <v>2564</v>
      </c>
      <c r="C809">
        <v>70</v>
      </c>
      <c r="D809">
        <v>1</v>
      </c>
      <c r="E809" s="3">
        <v>45864</v>
      </c>
      <c r="F809" s="3">
        <v>45331</v>
      </c>
      <c r="G809" t="s">
        <v>2565</v>
      </c>
      <c r="H809" t="s">
        <v>25</v>
      </c>
      <c r="J809">
        <v>0</v>
      </c>
      <c r="K809" t="str">
        <f t="shared" si="72"/>
        <v>Frank Castaneda</v>
      </c>
      <c r="L809" t="str">
        <f t="shared" si="73"/>
        <v>Female</v>
      </c>
      <c r="M809" t="str">
        <f t="shared" si="74"/>
        <v>Christopher Chen</v>
      </c>
      <c r="N809" s="4" t="str">
        <f t="shared" si="75"/>
        <v>Neurology</v>
      </c>
      <c r="O809" s="6" t="str">
        <f t="shared" si="76"/>
        <v>0.00</v>
      </c>
      <c r="P809" s="4" t="str">
        <f t="shared" si="77"/>
        <v>No</v>
      </c>
      <c r="Q809" s="4" t="str">
        <f>IF(OR(A809="",C809="",L809="Missing",M809="Missing",O809="0.00",K809="Missing"),"Review","OK")</f>
        <v>Review</v>
      </c>
    </row>
    <row r="810" spans="1:17" x14ac:dyDescent="0.3">
      <c r="A810">
        <v>1067</v>
      </c>
      <c r="B810" t="s">
        <v>2566</v>
      </c>
      <c r="C810">
        <v>57</v>
      </c>
      <c r="D810" t="s">
        <v>11</v>
      </c>
      <c r="E810" s="3">
        <v>46013</v>
      </c>
      <c r="F810" s="3">
        <v>45809</v>
      </c>
      <c r="G810" t="s">
        <v>660</v>
      </c>
      <c r="H810" t="s">
        <v>25</v>
      </c>
      <c r="I810" t="s">
        <v>2567</v>
      </c>
      <c r="J810" t="s">
        <v>65</v>
      </c>
      <c r="K810" t="str">
        <f t="shared" si="72"/>
        <v>Benjamin Ramirez</v>
      </c>
      <c r="L810" t="str">
        <f t="shared" si="73"/>
        <v>Female</v>
      </c>
      <c r="M810" t="str">
        <f t="shared" si="74"/>
        <v>Wesley Johnson</v>
      </c>
      <c r="N810" s="4" t="str">
        <f t="shared" si="75"/>
        <v>Neurology</v>
      </c>
      <c r="O810" s="6">
        <f t="shared" si="76"/>
        <v>142.33000000000001</v>
      </c>
      <c r="P810" s="4" t="str">
        <f t="shared" si="77"/>
        <v>No</v>
      </c>
      <c r="Q810" s="4" t="str">
        <f>IF(OR(A810="",C810="",L810="Missing",M810="Missing",O810="0.00",K810="Missing"),"Review","OK")</f>
        <v>OK</v>
      </c>
    </row>
    <row r="811" spans="1:17" x14ac:dyDescent="0.3">
      <c r="A811">
        <v>1064</v>
      </c>
      <c r="B811" t="s">
        <v>2568</v>
      </c>
      <c r="C811">
        <v>57</v>
      </c>
      <c r="D811" t="s">
        <v>56</v>
      </c>
      <c r="E811" s="3">
        <v>45847</v>
      </c>
      <c r="F811" s="3">
        <v>45392</v>
      </c>
      <c r="G811" t="s">
        <v>2569</v>
      </c>
      <c r="H811" t="s">
        <v>29</v>
      </c>
      <c r="I811" t="s">
        <v>2570</v>
      </c>
      <c r="J811">
        <v>0</v>
      </c>
      <c r="K811" t="str">
        <f t="shared" si="72"/>
        <v>Matthew Buckley</v>
      </c>
      <c r="L811" t="str">
        <f t="shared" si="73"/>
        <v>Male</v>
      </c>
      <c r="M811" t="str">
        <f t="shared" si="74"/>
        <v>Ryan Collins</v>
      </c>
      <c r="N811" s="4" t="str">
        <f t="shared" si="75"/>
        <v>General</v>
      </c>
      <c r="O811" s="6">
        <f t="shared" si="76"/>
        <v>476.81</v>
      </c>
      <c r="P811" s="4" t="str">
        <f t="shared" si="77"/>
        <v>No</v>
      </c>
      <c r="Q811" s="4" t="str">
        <f>IF(OR(A811="",C811="",L811="Missing",M811="Missing",O811="0.00",K811="Missing"),"Review","OK")</f>
        <v>OK</v>
      </c>
    </row>
    <row r="812" spans="1:17" x14ac:dyDescent="0.3">
      <c r="A812">
        <v>1008</v>
      </c>
      <c r="B812" t="s">
        <v>2571</v>
      </c>
      <c r="C812">
        <v>22</v>
      </c>
      <c r="D812" t="s">
        <v>11</v>
      </c>
      <c r="E812" s="3">
        <v>46000</v>
      </c>
      <c r="F812" s="3">
        <v>45555</v>
      </c>
      <c r="G812" t="s">
        <v>2572</v>
      </c>
      <c r="H812" t="s">
        <v>29</v>
      </c>
      <c r="I812" t="s">
        <v>2573</v>
      </c>
      <c r="J812">
        <v>1</v>
      </c>
      <c r="K812" t="str">
        <f t="shared" si="72"/>
        <v>Kimberly Goodman</v>
      </c>
      <c r="L812" t="str">
        <f t="shared" si="73"/>
        <v>Female</v>
      </c>
      <c r="M812" t="str">
        <f t="shared" si="74"/>
        <v>Luis Kim</v>
      </c>
      <c r="N812" s="4" t="str">
        <f t="shared" si="75"/>
        <v>General</v>
      </c>
      <c r="O812" s="6">
        <f t="shared" si="76"/>
        <v>351.04</v>
      </c>
      <c r="P812" s="4" t="str">
        <f t="shared" si="77"/>
        <v>Yes</v>
      </c>
      <c r="Q812" s="4" t="str">
        <f>IF(OR(A812="",C812="",L812="Missing",M812="Missing",O812="0.00",K812="Missing"),"Review","OK")</f>
        <v>OK</v>
      </c>
    </row>
    <row r="813" spans="1:17" x14ac:dyDescent="0.3">
      <c r="A813">
        <v>1097</v>
      </c>
      <c r="B813" t="s">
        <v>2574</v>
      </c>
      <c r="C813">
        <v>42</v>
      </c>
      <c r="D813" t="s">
        <v>41</v>
      </c>
      <c r="E813" s="3">
        <v>46054</v>
      </c>
      <c r="F813" s="3">
        <v>46022</v>
      </c>
      <c r="G813" t="s">
        <v>2575</v>
      </c>
      <c r="H813" t="s">
        <v>25</v>
      </c>
      <c r="I813" t="s">
        <v>2576</v>
      </c>
      <c r="J813" t="s">
        <v>31</v>
      </c>
      <c r="K813" t="str">
        <f t="shared" si="72"/>
        <v>Brandi Osborn</v>
      </c>
      <c r="L813" t="str">
        <f t="shared" si="73"/>
        <v>Female</v>
      </c>
      <c r="M813" t="str">
        <f t="shared" si="74"/>
        <v>Daisy Rodriguez</v>
      </c>
      <c r="N813" s="4" t="str">
        <f t="shared" si="75"/>
        <v>Neurology</v>
      </c>
      <c r="O813" s="6">
        <f t="shared" si="76"/>
        <v>73.97</v>
      </c>
      <c r="P813" s="4" t="str">
        <f t="shared" si="77"/>
        <v>No</v>
      </c>
      <c r="Q813" s="4" t="str">
        <f>IF(OR(A813="",C813="",L813="Missing",M813="Missing",O813="0.00",K813="Missing"),"Review","OK")</f>
        <v>OK</v>
      </c>
    </row>
    <row r="814" spans="1:17" x14ac:dyDescent="0.3">
      <c r="A814">
        <v>1053</v>
      </c>
      <c r="B814" t="s">
        <v>2577</v>
      </c>
      <c r="C814">
        <v>39</v>
      </c>
      <c r="D814">
        <v>1</v>
      </c>
      <c r="E814" s="3">
        <v>46037</v>
      </c>
      <c r="F814" s="3">
        <v>45972</v>
      </c>
      <c r="G814" t="s">
        <v>2578</v>
      </c>
      <c r="H814" t="s">
        <v>29</v>
      </c>
      <c r="I814" t="s">
        <v>2579</v>
      </c>
      <c r="J814" t="s">
        <v>65</v>
      </c>
      <c r="K814" t="str">
        <f t="shared" si="72"/>
        <v>Christopher Lopez</v>
      </c>
      <c r="L814" t="str">
        <f t="shared" si="73"/>
        <v>Female</v>
      </c>
      <c r="M814" t="str">
        <f t="shared" si="74"/>
        <v>Caleb Kennedy</v>
      </c>
      <c r="N814" s="4" t="str">
        <f t="shared" si="75"/>
        <v>General</v>
      </c>
      <c r="O814" s="6">
        <f t="shared" si="76"/>
        <v>295.70999999999998</v>
      </c>
      <c r="P814" s="4" t="str">
        <f t="shared" si="77"/>
        <v>No</v>
      </c>
      <c r="Q814" s="4" t="str">
        <f>IF(OR(A814="",C814="",L814="Missing",M814="Missing",O814="0.00",K814="Missing"),"Review","OK")</f>
        <v>OK</v>
      </c>
    </row>
    <row r="815" spans="1:17" x14ac:dyDescent="0.3">
      <c r="A815">
        <v>1035</v>
      </c>
      <c r="B815" t="s">
        <v>2580</v>
      </c>
      <c r="C815">
        <v>46</v>
      </c>
      <c r="D815" t="s">
        <v>16</v>
      </c>
      <c r="E815" s="3">
        <v>45882</v>
      </c>
      <c r="F815" s="3">
        <v>45802</v>
      </c>
      <c r="G815" t="s">
        <v>2581</v>
      </c>
      <c r="H815" t="s">
        <v>13</v>
      </c>
      <c r="I815" t="s">
        <v>2582</v>
      </c>
      <c r="J815">
        <v>1</v>
      </c>
      <c r="K815" t="str">
        <f t="shared" si="72"/>
        <v>Ronnie Roach</v>
      </c>
      <c r="L815" t="str">
        <f t="shared" si="73"/>
        <v>Female</v>
      </c>
      <c r="M815" t="str">
        <f t="shared" si="74"/>
        <v>Jason Houston</v>
      </c>
      <c r="N815" s="4" t="str">
        <f t="shared" si="75"/>
        <v>Cardiology</v>
      </c>
      <c r="O815" s="6">
        <f t="shared" si="76"/>
        <v>167.5</v>
      </c>
      <c r="P815" s="4" t="str">
        <f t="shared" si="77"/>
        <v>Yes</v>
      </c>
      <c r="Q815" s="4" t="str">
        <f>IF(OR(A815="",C815="",L815="Missing",M815="Missing",O815="0.00",K815="Missing"),"Review","OK")</f>
        <v>OK</v>
      </c>
    </row>
    <row r="816" spans="1:17" x14ac:dyDescent="0.3">
      <c r="A816">
        <v>1074</v>
      </c>
      <c r="B816" t="s">
        <v>2583</v>
      </c>
      <c r="C816">
        <v>87</v>
      </c>
      <c r="E816" s="3">
        <v>45796</v>
      </c>
      <c r="F816" s="3">
        <v>45455</v>
      </c>
      <c r="G816" t="s">
        <v>2584</v>
      </c>
      <c r="H816" t="s">
        <v>29</v>
      </c>
      <c r="I816" t="s">
        <v>2585</v>
      </c>
      <c r="J816" t="s">
        <v>21</v>
      </c>
      <c r="K816" t="str">
        <f t="shared" si="72"/>
        <v>Gary Taylor</v>
      </c>
      <c r="L816" t="str">
        <f t="shared" si="73"/>
        <v>Missing</v>
      </c>
      <c r="M816" t="str">
        <f t="shared" si="74"/>
        <v>Lauren Medina</v>
      </c>
      <c r="N816" s="4" t="str">
        <f t="shared" si="75"/>
        <v>General</v>
      </c>
      <c r="O816" s="6">
        <f t="shared" si="76"/>
        <v>321.5</v>
      </c>
      <c r="P816" s="4" t="str">
        <f t="shared" si="77"/>
        <v>Yes</v>
      </c>
      <c r="Q816" s="4" t="str">
        <f>IF(OR(A816="",C816="",L816="Missing",M816="Missing",O816="0.00",K816="Missing"),"Review","OK")</f>
        <v>Review</v>
      </c>
    </row>
    <row r="817" spans="1:17" x14ac:dyDescent="0.3">
      <c r="A817">
        <v>1015</v>
      </c>
      <c r="B817" t="s">
        <v>2586</v>
      </c>
      <c r="C817">
        <v>21</v>
      </c>
      <c r="D817" t="s">
        <v>11</v>
      </c>
      <c r="E817" s="3">
        <v>45842</v>
      </c>
      <c r="F817" s="3">
        <v>45695</v>
      </c>
      <c r="G817" t="s">
        <v>1691</v>
      </c>
      <c r="H817" t="s">
        <v>13</v>
      </c>
      <c r="I817" t="s">
        <v>2587</v>
      </c>
      <c r="J817" t="s">
        <v>65</v>
      </c>
      <c r="K817" t="str">
        <f t="shared" si="72"/>
        <v>Rodney Gonzalez</v>
      </c>
      <c r="L817" t="str">
        <f t="shared" si="73"/>
        <v>Female</v>
      </c>
      <c r="M817" t="str">
        <f t="shared" si="74"/>
        <v>Allison Ramos</v>
      </c>
      <c r="N817" s="4" t="str">
        <f t="shared" si="75"/>
        <v>Cardiology</v>
      </c>
      <c r="O817" s="6">
        <f t="shared" si="76"/>
        <v>168.33</v>
      </c>
      <c r="P817" s="4" t="str">
        <f t="shared" si="77"/>
        <v>No</v>
      </c>
      <c r="Q817" s="4" t="str">
        <f>IF(OR(A817="",C817="",L817="Missing",M817="Missing",O817="0.00",K817="Missing"),"Review","OK")</f>
        <v>OK</v>
      </c>
    </row>
    <row r="818" spans="1:17" x14ac:dyDescent="0.3">
      <c r="A818">
        <v>1071</v>
      </c>
      <c r="B818" t="s">
        <v>2588</v>
      </c>
      <c r="C818">
        <v>88</v>
      </c>
      <c r="D818" t="s">
        <v>16</v>
      </c>
      <c r="E818" s="3" t="s">
        <v>2589</v>
      </c>
      <c r="F818" s="3">
        <v>45831</v>
      </c>
      <c r="G818" t="s">
        <v>2590</v>
      </c>
      <c r="H818" t="s">
        <v>13</v>
      </c>
      <c r="I818" t="s">
        <v>2591</v>
      </c>
      <c r="J818" t="s">
        <v>39</v>
      </c>
      <c r="K818" t="str">
        <f t="shared" si="72"/>
        <v>Patrick Roach</v>
      </c>
      <c r="L818" t="str">
        <f t="shared" si="73"/>
        <v>Female</v>
      </c>
      <c r="M818" t="str">
        <f t="shared" si="74"/>
        <v>Karen Duke</v>
      </c>
      <c r="N818" s="4" t="str">
        <f t="shared" si="75"/>
        <v>Cardiology</v>
      </c>
      <c r="O818" s="6">
        <f t="shared" si="76"/>
        <v>411.75</v>
      </c>
      <c r="P818" s="4" t="str">
        <f t="shared" si="77"/>
        <v>Yes</v>
      </c>
      <c r="Q818" s="4" t="str">
        <f>IF(OR(A818="",C818="",L818="Missing",M818="Missing",O818="0.00",K818="Missing"),"Review","OK")</f>
        <v>OK</v>
      </c>
    </row>
    <row r="819" spans="1:17" x14ac:dyDescent="0.3">
      <c r="A819">
        <v>1044</v>
      </c>
      <c r="B819" t="s">
        <v>2592</v>
      </c>
      <c r="C819">
        <v>83</v>
      </c>
      <c r="D819">
        <v>1</v>
      </c>
      <c r="E819" s="3">
        <v>45824</v>
      </c>
      <c r="F819" s="3">
        <v>45841</v>
      </c>
      <c r="G819" t="s">
        <v>728</v>
      </c>
      <c r="H819" t="s">
        <v>13</v>
      </c>
      <c r="J819" t="s">
        <v>31</v>
      </c>
      <c r="K819" t="str">
        <f t="shared" si="72"/>
        <v>Sandra Rojas</v>
      </c>
      <c r="L819" t="str">
        <f t="shared" si="73"/>
        <v>Female</v>
      </c>
      <c r="M819" t="str">
        <f t="shared" si="74"/>
        <v>Stephanie Bryant</v>
      </c>
      <c r="N819" s="4" t="str">
        <f t="shared" si="75"/>
        <v>Cardiology</v>
      </c>
      <c r="O819" s="6" t="str">
        <f t="shared" si="76"/>
        <v>0.00</v>
      </c>
      <c r="P819" s="4" t="str">
        <f t="shared" si="77"/>
        <v>No</v>
      </c>
      <c r="Q819" s="4" t="str">
        <f>IF(OR(A819="",C819="",L819="Missing",M819="Missing",O819="0.00",K819="Missing"),"Review","OK")</f>
        <v>Review</v>
      </c>
    </row>
    <row r="820" spans="1:17" x14ac:dyDescent="0.3">
      <c r="A820">
        <v>1038</v>
      </c>
      <c r="B820" t="s">
        <v>2593</v>
      </c>
      <c r="C820">
        <v>29</v>
      </c>
      <c r="D820" t="s">
        <v>16</v>
      </c>
      <c r="E820" s="3">
        <v>46073</v>
      </c>
      <c r="F820" s="3">
        <v>45526</v>
      </c>
      <c r="G820" t="s">
        <v>2594</v>
      </c>
      <c r="H820" t="s">
        <v>25</v>
      </c>
      <c r="I820" t="s">
        <v>2595</v>
      </c>
      <c r="J820">
        <v>0</v>
      </c>
      <c r="K820" t="str">
        <f t="shared" si="72"/>
        <v>Donna Stone</v>
      </c>
      <c r="L820" t="str">
        <f t="shared" si="73"/>
        <v>Female</v>
      </c>
      <c r="M820" t="str">
        <f t="shared" si="74"/>
        <v>Daniel Bender</v>
      </c>
      <c r="N820" s="4" t="str">
        <f t="shared" si="75"/>
        <v>Neurology</v>
      </c>
      <c r="O820" s="6">
        <f t="shared" si="76"/>
        <v>462.15</v>
      </c>
      <c r="P820" s="4" t="str">
        <f t="shared" si="77"/>
        <v>No</v>
      </c>
      <c r="Q820" s="4" t="str">
        <f>IF(OR(A820="",C820="",L820="Missing",M820="Missing",O820="0.00",K820="Missing"),"Review","OK")</f>
        <v>OK</v>
      </c>
    </row>
    <row r="821" spans="1:17" x14ac:dyDescent="0.3">
      <c r="A821">
        <v>1001</v>
      </c>
      <c r="B821" t="s">
        <v>2596</v>
      </c>
      <c r="C821">
        <v>30</v>
      </c>
      <c r="D821" t="s">
        <v>76</v>
      </c>
      <c r="E821" s="3">
        <v>45807</v>
      </c>
      <c r="F821" s="3">
        <v>45631</v>
      </c>
      <c r="G821" t="s">
        <v>2597</v>
      </c>
      <c r="H821" t="s">
        <v>25</v>
      </c>
      <c r="J821" t="s">
        <v>39</v>
      </c>
      <c r="K821" t="str">
        <f t="shared" si="72"/>
        <v>Erik Davis</v>
      </c>
      <c r="L821" t="str">
        <f t="shared" si="73"/>
        <v>Male</v>
      </c>
      <c r="M821" t="str">
        <f t="shared" si="74"/>
        <v>Amanda White</v>
      </c>
      <c r="N821" s="4" t="str">
        <f t="shared" si="75"/>
        <v>Neurology</v>
      </c>
      <c r="O821" s="6" t="str">
        <f t="shared" si="76"/>
        <v>0.00</v>
      </c>
      <c r="P821" s="4" t="str">
        <f t="shared" si="77"/>
        <v>Yes</v>
      </c>
      <c r="Q821" s="4" t="str">
        <f>IF(OR(A821="",C821="",L821="Missing",M821="Missing",O821="0.00",K821="Missing"),"Review","OK")</f>
        <v>Review</v>
      </c>
    </row>
    <row r="822" spans="1:17" x14ac:dyDescent="0.3">
      <c r="A822">
        <v>1056</v>
      </c>
      <c r="B822" t="s">
        <v>2598</v>
      </c>
      <c r="C822">
        <v>33</v>
      </c>
      <c r="E822" s="3">
        <v>45946</v>
      </c>
      <c r="F822" s="3">
        <v>45548</v>
      </c>
      <c r="G822" t="s">
        <v>2599</v>
      </c>
      <c r="H822" t="s">
        <v>19</v>
      </c>
      <c r="I822" t="s">
        <v>2600</v>
      </c>
      <c r="J822" t="s">
        <v>31</v>
      </c>
      <c r="K822" t="str">
        <f t="shared" si="72"/>
        <v>Brian Patel</v>
      </c>
      <c r="L822" t="str">
        <f t="shared" si="73"/>
        <v>Missing</v>
      </c>
      <c r="M822" t="str">
        <f t="shared" si="74"/>
        <v>Tracy Harris</v>
      </c>
      <c r="N822" s="4" t="str">
        <f t="shared" si="75"/>
        <v>Orthopedics</v>
      </c>
      <c r="O822" s="6">
        <f t="shared" si="76"/>
        <v>124.69</v>
      </c>
      <c r="P822" s="4" t="str">
        <f t="shared" si="77"/>
        <v>No</v>
      </c>
      <c r="Q822" s="4" t="str">
        <f>IF(OR(A822="",C822="",L822="Missing",M822="Missing",O822="0.00",K822="Missing"),"Review","OK")</f>
        <v>Review</v>
      </c>
    </row>
    <row r="823" spans="1:17" x14ac:dyDescent="0.3">
      <c r="A823">
        <v>1008</v>
      </c>
      <c r="B823" t="s">
        <v>2601</v>
      </c>
      <c r="C823">
        <v>71</v>
      </c>
      <c r="E823" s="3">
        <v>45906</v>
      </c>
      <c r="F823" s="3">
        <v>45433</v>
      </c>
      <c r="G823" t="s">
        <v>2602</v>
      </c>
      <c r="H823" t="s">
        <v>25</v>
      </c>
      <c r="I823" t="s">
        <v>2603</v>
      </c>
      <c r="J823">
        <v>0</v>
      </c>
      <c r="K823" t="str">
        <f t="shared" si="72"/>
        <v>George Houston</v>
      </c>
      <c r="L823" t="str">
        <f t="shared" si="73"/>
        <v>Missing</v>
      </c>
      <c r="M823" t="str">
        <f t="shared" si="74"/>
        <v>Brian Vincent</v>
      </c>
      <c r="N823" s="4" t="str">
        <f t="shared" si="75"/>
        <v>Neurology</v>
      </c>
      <c r="O823" s="6">
        <f t="shared" si="76"/>
        <v>129.38</v>
      </c>
      <c r="P823" s="4" t="str">
        <f t="shared" si="77"/>
        <v>No</v>
      </c>
      <c r="Q823" s="4" t="str">
        <f>IF(OR(A823="",C823="",L823="Missing",M823="Missing",O823="0.00",K823="Missing"),"Review","OK")</f>
        <v>Review</v>
      </c>
    </row>
    <row r="824" spans="1:17" x14ac:dyDescent="0.3">
      <c r="A824">
        <v>1099</v>
      </c>
      <c r="B824" t="s">
        <v>2604</v>
      </c>
      <c r="C824">
        <v>74</v>
      </c>
      <c r="D824" t="s">
        <v>76</v>
      </c>
      <c r="E824" s="3">
        <v>45786</v>
      </c>
      <c r="F824" s="3">
        <v>45637</v>
      </c>
      <c r="G824" t="s">
        <v>2605</v>
      </c>
      <c r="H824" t="s">
        <v>13</v>
      </c>
      <c r="I824" t="s">
        <v>2606</v>
      </c>
      <c r="J824" t="s">
        <v>65</v>
      </c>
      <c r="K824" t="str">
        <f t="shared" si="72"/>
        <v>Mrs. Katherine Huber Phd</v>
      </c>
      <c r="L824" t="str">
        <f t="shared" si="73"/>
        <v>Male</v>
      </c>
      <c r="M824" t="str">
        <f t="shared" si="74"/>
        <v>Kathryn Young</v>
      </c>
      <c r="N824" s="4" t="str">
        <f t="shared" si="75"/>
        <v>Cardiology</v>
      </c>
      <c r="O824" s="6">
        <f t="shared" si="76"/>
        <v>488.54</v>
      </c>
      <c r="P824" s="4" t="str">
        <f t="shared" si="77"/>
        <v>No</v>
      </c>
      <c r="Q824" s="4" t="str">
        <f>IF(OR(A824="",C824="",L824="Missing",M824="Missing",O824="0.00",K824="Missing"),"Review","OK")</f>
        <v>OK</v>
      </c>
    </row>
    <row r="825" spans="1:17" x14ac:dyDescent="0.3">
      <c r="A825">
        <v>1060</v>
      </c>
      <c r="B825" t="s">
        <v>2607</v>
      </c>
      <c r="C825">
        <v>26</v>
      </c>
      <c r="D825" t="s">
        <v>76</v>
      </c>
      <c r="E825" s="3" t="s">
        <v>2608</v>
      </c>
      <c r="F825" s="3">
        <v>45638</v>
      </c>
      <c r="G825" t="s">
        <v>2609</v>
      </c>
      <c r="H825" t="s">
        <v>19</v>
      </c>
      <c r="I825" t="s">
        <v>2610</v>
      </c>
      <c r="J825" t="s">
        <v>31</v>
      </c>
      <c r="K825" t="str">
        <f t="shared" si="72"/>
        <v>Edward Russell</v>
      </c>
      <c r="L825" t="str">
        <f t="shared" si="73"/>
        <v>Male</v>
      </c>
      <c r="M825" t="str">
        <f t="shared" si="74"/>
        <v>Connor Brown</v>
      </c>
      <c r="N825" s="4" t="str">
        <f t="shared" si="75"/>
        <v>Orthopedics</v>
      </c>
      <c r="O825" s="6">
        <f t="shared" si="76"/>
        <v>93.45</v>
      </c>
      <c r="P825" s="4" t="str">
        <f t="shared" si="77"/>
        <v>No</v>
      </c>
      <c r="Q825" s="4" t="str">
        <f>IF(OR(A825="",C825="",L825="Missing",M825="Missing",O825="0.00",K825="Missing"),"Review","OK")</f>
        <v>OK</v>
      </c>
    </row>
    <row r="826" spans="1:17" x14ac:dyDescent="0.3">
      <c r="A826">
        <v>1080</v>
      </c>
      <c r="B826" t="s">
        <v>2611</v>
      </c>
      <c r="C826">
        <v>18</v>
      </c>
      <c r="D826" t="s">
        <v>76</v>
      </c>
      <c r="E826" s="3">
        <v>45812</v>
      </c>
      <c r="F826" s="3" t="s">
        <v>2612</v>
      </c>
      <c r="G826" t="s">
        <v>2613</v>
      </c>
      <c r="H826" t="s">
        <v>25</v>
      </c>
      <c r="I826" t="s">
        <v>2614</v>
      </c>
      <c r="J826" t="s">
        <v>31</v>
      </c>
      <c r="K826" t="str">
        <f t="shared" si="72"/>
        <v>Thomas Fleming</v>
      </c>
      <c r="L826" t="str">
        <f t="shared" si="73"/>
        <v>Male</v>
      </c>
      <c r="M826" t="str">
        <f t="shared" si="74"/>
        <v>Kimberly Mcdonald</v>
      </c>
      <c r="N826" s="4" t="str">
        <f t="shared" si="75"/>
        <v>Neurology</v>
      </c>
      <c r="O826" s="6">
        <f t="shared" si="76"/>
        <v>73.45</v>
      </c>
      <c r="P826" s="4" t="str">
        <f t="shared" si="77"/>
        <v>No</v>
      </c>
      <c r="Q826" s="4" t="str">
        <f>IF(OR(A826="",C826="",L826="Missing",M826="Missing",O826="0.00",K826="Missing"),"Review","OK")</f>
        <v>OK</v>
      </c>
    </row>
    <row r="827" spans="1:17" x14ac:dyDescent="0.3">
      <c r="A827">
        <v>1056</v>
      </c>
      <c r="B827" t="s">
        <v>2615</v>
      </c>
      <c r="C827">
        <v>26</v>
      </c>
      <c r="D827">
        <v>0</v>
      </c>
      <c r="E827" s="3">
        <v>45987</v>
      </c>
      <c r="F827" s="3">
        <v>45764</v>
      </c>
      <c r="G827" t="s">
        <v>2616</v>
      </c>
      <c r="H827" t="s">
        <v>25</v>
      </c>
      <c r="I827" t="s">
        <v>2617</v>
      </c>
      <c r="J827" t="s">
        <v>31</v>
      </c>
      <c r="K827" t="str">
        <f t="shared" si="72"/>
        <v>Savannah Butler</v>
      </c>
      <c r="L827" t="str">
        <f t="shared" si="73"/>
        <v>Male</v>
      </c>
      <c r="M827" t="str">
        <f t="shared" si="74"/>
        <v>James Nguyen</v>
      </c>
      <c r="N827" s="4" t="str">
        <f t="shared" si="75"/>
        <v>Neurology</v>
      </c>
      <c r="O827" s="6">
        <f t="shared" si="76"/>
        <v>340.47</v>
      </c>
      <c r="P827" s="4" t="str">
        <f t="shared" si="77"/>
        <v>No</v>
      </c>
      <c r="Q827" s="4" t="str">
        <f>IF(OR(A827="",C827="",L827="Missing",M827="Missing",O827="0.00",K827="Missing"),"Review","OK")</f>
        <v>OK</v>
      </c>
    </row>
    <row r="828" spans="1:17" x14ac:dyDescent="0.3">
      <c r="A828">
        <v>1077</v>
      </c>
      <c r="B828" t="s">
        <v>2618</v>
      </c>
      <c r="C828">
        <v>78</v>
      </c>
      <c r="D828" t="s">
        <v>56</v>
      </c>
      <c r="E828" s="3">
        <v>46266</v>
      </c>
      <c r="F828" s="3">
        <v>45784</v>
      </c>
      <c r="G828" t="s">
        <v>2619</v>
      </c>
      <c r="H828" t="s">
        <v>13</v>
      </c>
      <c r="I828" t="s">
        <v>2620</v>
      </c>
      <c r="J828">
        <v>0</v>
      </c>
      <c r="K828" t="str">
        <f t="shared" si="72"/>
        <v>David Wilson</v>
      </c>
      <c r="L828" t="str">
        <f t="shared" si="73"/>
        <v>Male</v>
      </c>
      <c r="M828" t="str">
        <f t="shared" si="74"/>
        <v>Matthew Wilson</v>
      </c>
      <c r="N828" s="4" t="str">
        <f t="shared" si="75"/>
        <v>Cardiology</v>
      </c>
      <c r="O828" s="6">
        <f t="shared" si="76"/>
        <v>414.94</v>
      </c>
      <c r="P828" s="4" t="str">
        <f t="shared" si="77"/>
        <v>No</v>
      </c>
      <c r="Q828" s="4" t="str">
        <f>IF(OR(A828="",C828="",L828="Missing",M828="Missing",O828="0.00",K828="Missing"),"Review","OK")</f>
        <v>OK</v>
      </c>
    </row>
    <row r="829" spans="1:17" x14ac:dyDescent="0.3">
      <c r="A829">
        <v>1036</v>
      </c>
      <c r="B829" t="s">
        <v>2621</v>
      </c>
      <c r="C829">
        <v>25</v>
      </c>
      <c r="D829" t="s">
        <v>76</v>
      </c>
      <c r="E829" s="3">
        <v>45822</v>
      </c>
      <c r="F829" s="3" t="s">
        <v>2622</v>
      </c>
      <c r="G829" t="s">
        <v>2623</v>
      </c>
      <c r="H829" t="s">
        <v>25</v>
      </c>
      <c r="I829" t="s">
        <v>2624</v>
      </c>
      <c r="J829" t="s">
        <v>39</v>
      </c>
      <c r="K829" t="str">
        <f t="shared" si="72"/>
        <v>Jacob Price</v>
      </c>
      <c r="L829" t="str">
        <f t="shared" si="73"/>
        <v>Male</v>
      </c>
      <c r="M829" t="str">
        <f t="shared" si="74"/>
        <v>Kimberly Rangel</v>
      </c>
      <c r="N829" s="4" t="str">
        <f t="shared" si="75"/>
        <v>Neurology</v>
      </c>
      <c r="O829" s="6">
        <f t="shared" si="76"/>
        <v>238.05</v>
      </c>
      <c r="P829" s="4" t="str">
        <f t="shared" si="77"/>
        <v>Yes</v>
      </c>
      <c r="Q829" s="4" t="str">
        <f>IF(OR(A829="",C829="",L829="Missing",M829="Missing",O829="0.00",K829="Missing"),"Review","OK")</f>
        <v>OK</v>
      </c>
    </row>
    <row r="830" spans="1:17" x14ac:dyDescent="0.3">
      <c r="A830">
        <v>1050</v>
      </c>
      <c r="B830" t="s">
        <v>784</v>
      </c>
      <c r="C830">
        <v>41</v>
      </c>
      <c r="D830" t="s">
        <v>11</v>
      </c>
      <c r="E830" s="3">
        <v>46060</v>
      </c>
      <c r="F830" s="3">
        <v>45804</v>
      </c>
      <c r="G830" t="s">
        <v>2625</v>
      </c>
      <c r="H830" t="s">
        <v>19</v>
      </c>
      <c r="I830" t="s">
        <v>2626</v>
      </c>
      <c r="J830" t="s">
        <v>39</v>
      </c>
      <c r="K830" t="str">
        <f t="shared" si="72"/>
        <v>Brian Davis</v>
      </c>
      <c r="L830" t="str">
        <f t="shared" si="73"/>
        <v>Female</v>
      </c>
      <c r="M830" t="str">
        <f t="shared" si="74"/>
        <v>Brian Mitchell</v>
      </c>
      <c r="N830" s="4" t="str">
        <f t="shared" si="75"/>
        <v>Orthopedics</v>
      </c>
      <c r="O830" s="6">
        <f t="shared" si="76"/>
        <v>63.62</v>
      </c>
      <c r="P830" s="4" t="str">
        <f t="shared" si="77"/>
        <v>Yes</v>
      </c>
      <c r="Q830" s="4" t="str">
        <f>IF(OR(A830="",C830="",L830="Missing",M830="Missing",O830="0.00",K830="Missing"),"Review","OK")</f>
        <v>OK</v>
      </c>
    </row>
    <row r="831" spans="1:17" x14ac:dyDescent="0.3">
      <c r="A831">
        <v>1003</v>
      </c>
      <c r="B831" t="s">
        <v>2627</v>
      </c>
      <c r="C831">
        <v>85</v>
      </c>
      <c r="D831" t="s">
        <v>11</v>
      </c>
      <c r="E831" s="3">
        <v>45868</v>
      </c>
      <c r="F831" s="3">
        <v>45579</v>
      </c>
      <c r="G831" t="s">
        <v>2628</v>
      </c>
      <c r="H831" t="s">
        <v>13</v>
      </c>
      <c r="I831" t="s">
        <v>2629</v>
      </c>
      <c r="J831">
        <v>1</v>
      </c>
      <c r="K831" t="str">
        <f t="shared" si="72"/>
        <v>Kendra Jones</v>
      </c>
      <c r="L831" t="str">
        <f t="shared" si="73"/>
        <v>Female</v>
      </c>
      <c r="M831" t="str">
        <f t="shared" si="74"/>
        <v>Karen Grimes</v>
      </c>
      <c r="N831" s="4" t="str">
        <f t="shared" si="75"/>
        <v>Cardiology</v>
      </c>
      <c r="O831" s="6">
        <f t="shared" si="76"/>
        <v>101.59</v>
      </c>
      <c r="P831" s="4" t="str">
        <f t="shared" si="77"/>
        <v>Yes</v>
      </c>
      <c r="Q831" s="4" t="str">
        <f>IF(OR(A831="",C831="",L831="Missing",M831="Missing",O831="0.00",K831="Missing"),"Review","OK")</f>
        <v>OK</v>
      </c>
    </row>
    <row r="832" spans="1:17" x14ac:dyDescent="0.3">
      <c r="A832">
        <v>1042</v>
      </c>
      <c r="B832" t="s">
        <v>2630</v>
      </c>
      <c r="C832">
        <v>60</v>
      </c>
      <c r="D832" t="s">
        <v>11</v>
      </c>
      <c r="E832" s="3">
        <v>45744</v>
      </c>
      <c r="F832" s="3">
        <v>45610</v>
      </c>
      <c r="G832" t="s">
        <v>2631</v>
      </c>
      <c r="H832" t="s">
        <v>19</v>
      </c>
      <c r="I832" t="s">
        <v>2632</v>
      </c>
      <c r="J832" t="s">
        <v>39</v>
      </c>
      <c r="K832" t="str">
        <f t="shared" si="72"/>
        <v>Anthony Medina</v>
      </c>
      <c r="L832" t="str">
        <f t="shared" si="73"/>
        <v>Female</v>
      </c>
      <c r="M832" t="str">
        <f t="shared" si="74"/>
        <v>Richard Walker</v>
      </c>
      <c r="N832" s="4" t="str">
        <f t="shared" si="75"/>
        <v>Orthopedics</v>
      </c>
      <c r="O832" s="6">
        <f t="shared" si="76"/>
        <v>498.48</v>
      </c>
      <c r="P832" s="4" t="str">
        <f t="shared" si="77"/>
        <v>Yes</v>
      </c>
      <c r="Q832" s="4" t="str">
        <f>IF(OR(A832="",C832="",L832="Missing",M832="Missing",O832="0.00",K832="Missing"),"Review","OK")</f>
        <v>OK</v>
      </c>
    </row>
    <row r="833" spans="1:17" x14ac:dyDescent="0.3">
      <c r="A833">
        <v>1019</v>
      </c>
      <c r="B833" t="s">
        <v>2633</v>
      </c>
      <c r="C833">
        <v>34</v>
      </c>
      <c r="D833" t="s">
        <v>41</v>
      </c>
      <c r="E833" s="3">
        <v>46081</v>
      </c>
      <c r="F833" s="3">
        <v>45869</v>
      </c>
      <c r="G833" t="s">
        <v>2634</v>
      </c>
      <c r="H833" t="s">
        <v>29</v>
      </c>
      <c r="I833" t="s">
        <v>2635</v>
      </c>
      <c r="J833" t="s">
        <v>39</v>
      </c>
      <c r="K833" t="str">
        <f t="shared" si="72"/>
        <v>Desiree Wilkins</v>
      </c>
      <c r="L833" t="str">
        <f t="shared" si="73"/>
        <v>Female</v>
      </c>
      <c r="M833" t="str">
        <f t="shared" si="74"/>
        <v>Jamie Ford</v>
      </c>
      <c r="N833" s="4" t="str">
        <f t="shared" si="75"/>
        <v>General</v>
      </c>
      <c r="O833" s="6">
        <f t="shared" si="76"/>
        <v>305.83999999999997</v>
      </c>
      <c r="P833" s="4" t="str">
        <f t="shared" si="77"/>
        <v>Yes</v>
      </c>
      <c r="Q833" s="4" t="str">
        <f>IF(OR(A833="",C833="",L833="Missing",M833="Missing",O833="0.00",K833="Missing"),"Review","OK")</f>
        <v>OK</v>
      </c>
    </row>
    <row r="834" spans="1:17" x14ac:dyDescent="0.3">
      <c r="A834">
        <v>1073</v>
      </c>
      <c r="B834" t="s">
        <v>2636</v>
      </c>
      <c r="C834">
        <v>32</v>
      </c>
      <c r="D834" t="s">
        <v>16</v>
      </c>
      <c r="E834" s="3" t="s">
        <v>881</v>
      </c>
      <c r="F834" s="3" t="s">
        <v>2637</v>
      </c>
      <c r="G834" t="s">
        <v>2638</v>
      </c>
      <c r="H834" t="s">
        <v>13</v>
      </c>
      <c r="I834" t="s">
        <v>2639</v>
      </c>
      <c r="J834" t="s">
        <v>21</v>
      </c>
      <c r="K834" t="str">
        <f t="shared" ref="K834:K897" si="78">PROPER(TRIM(CLEAN(B834)))</f>
        <v>Ashley Cunningham</v>
      </c>
      <c r="L834" t="str">
        <f t="shared" ref="L834:L897" si="79">_xlfn.LET(_xlpm.x,LOWER(TRIM(D834)),
IF(OR(_xlpm.x="f",_xlpm.x="female",_xlpm.x="1"),"Female",
IF(OR(_xlpm.x="m",_xlpm.x="male",_xlpm.x="0"),"Male",
IF(_xlpm.x="","Missing","Review"))))</f>
        <v>Female</v>
      </c>
      <c r="M834" t="str">
        <f t="shared" ref="M834:M897" si="80">PROPER(TRIM(CLEAN(G834)))</f>
        <v>Sarah Montgomery</v>
      </c>
      <c r="N834" s="4" t="str">
        <f t="shared" ref="N834:N897" si="81">PROPER(TRIM(CLEAN(H834)))</f>
        <v>Cardiology</v>
      </c>
      <c r="O834" s="6">
        <f t="shared" ref="O834:O897" si="82">_xlfn.LET(_xlpm.x,TRIM(I834),IF(_xlpm.x="","0.00",IFERROR(VALUE(SUBSTITUTE(SUBSTITUTE(SUBSTITUTE(SUBSTITUTE(SUBSTITUTE(SUBSTITUTE(_xlpm.x,"Â£",""),"â‚¬",""),"$",""),"Rs",""),"£",""),"€","")),"0.00")))</f>
        <v>160.05000000000001</v>
      </c>
      <c r="P834" s="4" t="str">
        <f t="shared" ref="P834:P897" si="83">_xlfn.LET(_xlpm.x,LOWER(TRIM(J834)),
IF(OR(_xlpm.x="y",_xlpm.x="yes",_xlpm.x="1"),"Yes",
IF(OR(_xlpm.x="n",_xlpm.x="no",_xlpm.x="0"),"No",
IF(_xlpm.x="","Missing","Review"))))</f>
        <v>Yes</v>
      </c>
      <c r="Q834" s="4" t="str">
        <f>IF(OR(A834="",C834="",L834="Missing",M834="Missing",O834="0.00",K834="Missing"),"Review","OK")</f>
        <v>OK</v>
      </c>
    </row>
    <row r="835" spans="1:17" x14ac:dyDescent="0.3">
      <c r="A835">
        <v>1027</v>
      </c>
      <c r="B835" t="s">
        <v>2640</v>
      </c>
      <c r="C835">
        <v>54</v>
      </c>
      <c r="D835" t="s">
        <v>16</v>
      </c>
      <c r="E835" s="3">
        <v>46001</v>
      </c>
      <c r="F835" s="3">
        <v>45724</v>
      </c>
      <c r="G835" t="s">
        <v>2641</v>
      </c>
      <c r="H835" t="s">
        <v>19</v>
      </c>
      <c r="I835" t="s">
        <v>2642</v>
      </c>
      <c r="J835" t="s">
        <v>21</v>
      </c>
      <c r="K835" t="str">
        <f t="shared" si="78"/>
        <v>Abigail Townsend</v>
      </c>
      <c r="L835" t="str">
        <f t="shared" si="79"/>
        <v>Female</v>
      </c>
      <c r="M835" t="str">
        <f t="shared" si="80"/>
        <v>Allison Salazar</v>
      </c>
      <c r="N835" s="4" t="str">
        <f t="shared" si="81"/>
        <v>Orthopedics</v>
      </c>
      <c r="O835" s="6">
        <f t="shared" si="82"/>
        <v>406.61</v>
      </c>
      <c r="P835" s="4" t="str">
        <f t="shared" si="83"/>
        <v>Yes</v>
      </c>
      <c r="Q835" s="4" t="str">
        <f>IF(OR(A835="",C835="",L835="Missing",M835="Missing",O835="0.00",K835="Missing"),"Review","OK")</f>
        <v>OK</v>
      </c>
    </row>
    <row r="836" spans="1:17" x14ac:dyDescent="0.3">
      <c r="A836">
        <v>1004</v>
      </c>
      <c r="B836" t="s">
        <v>2643</v>
      </c>
      <c r="C836">
        <v>47</v>
      </c>
      <c r="D836" t="s">
        <v>41</v>
      </c>
      <c r="E836" s="3">
        <v>45986</v>
      </c>
      <c r="F836" s="3">
        <v>45571</v>
      </c>
      <c r="G836" t="s">
        <v>2644</v>
      </c>
      <c r="H836" t="s">
        <v>13</v>
      </c>
      <c r="I836" t="s">
        <v>2645</v>
      </c>
      <c r="J836">
        <v>0</v>
      </c>
      <c r="K836" t="str">
        <f t="shared" si="78"/>
        <v>Diana Collins</v>
      </c>
      <c r="L836" t="str">
        <f t="shared" si="79"/>
        <v>Female</v>
      </c>
      <c r="M836" t="str">
        <f t="shared" si="80"/>
        <v>Glenn Bond</v>
      </c>
      <c r="N836" s="4" t="str">
        <f t="shared" si="81"/>
        <v>Cardiology</v>
      </c>
      <c r="O836" s="6">
        <f t="shared" si="82"/>
        <v>359.32</v>
      </c>
      <c r="P836" s="4" t="str">
        <f t="shared" si="83"/>
        <v>No</v>
      </c>
      <c r="Q836" s="4" t="str">
        <f>IF(OR(A836="",C836="",L836="Missing",M836="Missing",O836="0.00",K836="Missing"),"Review","OK")</f>
        <v>OK</v>
      </c>
    </row>
    <row r="837" spans="1:17" x14ac:dyDescent="0.3">
      <c r="A837">
        <v>1077</v>
      </c>
      <c r="B837" t="s">
        <v>2646</v>
      </c>
      <c r="C837">
        <v>21</v>
      </c>
      <c r="D837" t="s">
        <v>16</v>
      </c>
      <c r="E837" s="3">
        <v>45886</v>
      </c>
      <c r="F837" s="3">
        <v>45475</v>
      </c>
      <c r="G837" t="s">
        <v>2647</v>
      </c>
      <c r="H837" t="s">
        <v>19</v>
      </c>
      <c r="I837" t="s">
        <v>2648</v>
      </c>
      <c r="J837" t="s">
        <v>31</v>
      </c>
      <c r="K837" t="str">
        <f t="shared" si="78"/>
        <v>William Roberts Jr.</v>
      </c>
      <c r="L837" t="str">
        <f t="shared" si="79"/>
        <v>Female</v>
      </c>
      <c r="M837" t="str">
        <f t="shared" si="80"/>
        <v>Savannah Beltran</v>
      </c>
      <c r="N837" s="4" t="str">
        <f t="shared" si="81"/>
        <v>Orthopedics</v>
      </c>
      <c r="O837" s="6">
        <f t="shared" si="82"/>
        <v>315.17</v>
      </c>
      <c r="P837" s="4" t="str">
        <f t="shared" si="83"/>
        <v>No</v>
      </c>
      <c r="Q837" s="4" t="str">
        <f>IF(OR(A837="",C837="",L837="Missing",M837="Missing",O837="0.00",K837="Missing"),"Review","OK")</f>
        <v>OK</v>
      </c>
    </row>
    <row r="838" spans="1:17" x14ac:dyDescent="0.3">
      <c r="A838">
        <v>1085</v>
      </c>
      <c r="B838" t="s">
        <v>2649</v>
      </c>
      <c r="C838">
        <v>85</v>
      </c>
      <c r="D838" t="s">
        <v>41</v>
      </c>
      <c r="E838" s="3">
        <v>45906</v>
      </c>
      <c r="F838" s="3" t="s">
        <v>2315</v>
      </c>
      <c r="G838" t="s">
        <v>2650</v>
      </c>
      <c r="H838" t="s">
        <v>25</v>
      </c>
      <c r="I838" t="s">
        <v>2651</v>
      </c>
      <c r="J838" t="s">
        <v>21</v>
      </c>
      <c r="K838" t="str">
        <f t="shared" si="78"/>
        <v>Sean Bailey</v>
      </c>
      <c r="L838" t="str">
        <f t="shared" si="79"/>
        <v>Female</v>
      </c>
      <c r="M838" t="str">
        <f t="shared" si="80"/>
        <v>Erika Turner</v>
      </c>
      <c r="N838" s="4" t="str">
        <f t="shared" si="81"/>
        <v>Neurology</v>
      </c>
      <c r="O838" s="6">
        <f t="shared" si="82"/>
        <v>319.92</v>
      </c>
      <c r="P838" s="4" t="str">
        <f t="shared" si="83"/>
        <v>Yes</v>
      </c>
      <c r="Q838" s="4" t="str">
        <f>IF(OR(A838="",C838="",L838="Missing",M838="Missing",O838="0.00",K838="Missing"),"Review","OK")</f>
        <v>OK</v>
      </c>
    </row>
    <row r="839" spans="1:17" x14ac:dyDescent="0.3">
      <c r="A839">
        <v>1025</v>
      </c>
      <c r="B839" t="s">
        <v>2652</v>
      </c>
      <c r="C839">
        <v>42</v>
      </c>
      <c r="E839" s="3">
        <v>45921</v>
      </c>
      <c r="F839" s="3">
        <v>45631</v>
      </c>
      <c r="G839" t="s">
        <v>2653</v>
      </c>
      <c r="H839" t="s">
        <v>19</v>
      </c>
      <c r="I839" t="s">
        <v>2654</v>
      </c>
      <c r="J839" t="s">
        <v>31</v>
      </c>
      <c r="K839" t="str">
        <f t="shared" si="78"/>
        <v>Adrian Vincent</v>
      </c>
      <c r="L839" t="str">
        <f t="shared" si="79"/>
        <v>Missing</v>
      </c>
      <c r="M839" t="str">
        <f t="shared" si="80"/>
        <v>William Coleman Md</v>
      </c>
      <c r="N839" s="4" t="str">
        <f t="shared" si="81"/>
        <v>Orthopedics</v>
      </c>
      <c r="O839" s="6">
        <f t="shared" si="82"/>
        <v>352.01</v>
      </c>
      <c r="P839" s="4" t="str">
        <f t="shared" si="83"/>
        <v>No</v>
      </c>
      <c r="Q839" s="4" t="str">
        <f>IF(OR(A839="",C839="",L839="Missing",M839="Missing",O839="0.00",K839="Missing"),"Review","OK")</f>
        <v>Review</v>
      </c>
    </row>
    <row r="840" spans="1:17" x14ac:dyDescent="0.3">
      <c r="A840">
        <v>1029</v>
      </c>
      <c r="B840" t="s">
        <v>2655</v>
      </c>
      <c r="C840">
        <v>63</v>
      </c>
      <c r="D840">
        <v>1</v>
      </c>
      <c r="E840" s="3">
        <v>45882</v>
      </c>
      <c r="F840" s="3">
        <v>45538</v>
      </c>
      <c r="G840" t="s">
        <v>2656</v>
      </c>
      <c r="H840" t="s">
        <v>19</v>
      </c>
      <c r="I840" t="s">
        <v>2657</v>
      </c>
      <c r="J840" t="s">
        <v>31</v>
      </c>
      <c r="K840" t="str">
        <f t="shared" si="78"/>
        <v>John Walsh</v>
      </c>
      <c r="L840" t="str">
        <f t="shared" si="79"/>
        <v>Female</v>
      </c>
      <c r="M840" t="str">
        <f t="shared" si="80"/>
        <v>Wanda Cox</v>
      </c>
      <c r="N840" s="4" t="str">
        <f t="shared" si="81"/>
        <v>Orthopedics</v>
      </c>
      <c r="O840" s="6">
        <f t="shared" si="82"/>
        <v>88.56</v>
      </c>
      <c r="P840" s="4" t="str">
        <f t="shared" si="83"/>
        <v>No</v>
      </c>
      <c r="Q840" s="4" t="str">
        <f>IF(OR(A840="",C840="",L840="Missing",M840="Missing",O840="0.00",K840="Missing"),"Review","OK")</f>
        <v>OK</v>
      </c>
    </row>
    <row r="841" spans="1:17" x14ac:dyDescent="0.3">
      <c r="A841">
        <v>1052</v>
      </c>
      <c r="B841" t="s">
        <v>2658</v>
      </c>
      <c r="C841">
        <v>26</v>
      </c>
      <c r="D841">
        <v>0</v>
      </c>
      <c r="E841" s="3" t="s">
        <v>2589</v>
      </c>
      <c r="F841" s="3">
        <v>45738</v>
      </c>
      <c r="G841" t="s">
        <v>2659</v>
      </c>
      <c r="H841" t="s">
        <v>25</v>
      </c>
      <c r="I841" t="s">
        <v>2660</v>
      </c>
      <c r="J841" t="s">
        <v>21</v>
      </c>
      <c r="K841" t="str">
        <f t="shared" si="78"/>
        <v>Christopher Johnson</v>
      </c>
      <c r="L841" t="str">
        <f t="shared" si="79"/>
        <v>Male</v>
      </c>
      <c r="M841" t="str">
        <f t="shared" si="80"/>
        <v>Susan Stanton</v>
      </c>
      <c r="N841" s="4" t="str">
        <f t="shared" si="81"/>
        <v>Neurology</v>
      </c>
      <c r="O841" s="6">
        <f t="shared" si="82"/>
        <v>461.18</v>
      </c>
      <c r="P841" s="4" t="str">
        <f t="shared" si="83"/>
        <v>Yes</v>
      </c>
      <c r="Q841" s="4" t="str">
        <f>IF(OR(A841="",C841="",L841="Missing",M841="Missing",O841="0.00",K841="Missing"),"Review","OK")</f>
        <v>OK</v>
      </c>
    </row>
    <row r="842" spans="1:17" x14ac:dyDescent="0.3">
      <c r="A842">
        <v>1062</v>
      </c>
      <c r="B842" t="s">
        <v>2661</v>
      </c>
      <c r="C842">
        <v>85</v>
      </c>
      <c r="D842" t="s">
        <v>11</v>
      </c>
      <c r="E842" s="3">
        <v>46057</v>
      </c>
      <c r="F842" s="3">
        <v>45648</v>
      </c>
      <c r="G842" t="s">
        <v>2662</v>
      </c>
      <c r="H842" t="s">
        <v>13</v>
      </c>
      <c r="I842" t="s">
        <v>2663</v>
      </c>
      <c r="J842">
        <v>1</v>
      </c>
      <c r="K842" t="str">
        <f t="shared" si="78"/>
        <v>Roger Holmes</v>
      </c>
      <c r="L842" t="str">
        <f t="shared" si="79"/>
        <v>Female</v>
      </c>
      <c r="M842" t="str">
        <f t="shared" si="80"/>
        <v>Paula Stone</v>
      </c>
      <c r="N842" s="4" t="str">
        <f t="shared" si="81"/>
        <v>Cardiology</v>
      </c>
      <c r="O842" s="6">
        <f t="shared" si="82"/>
        <v>206.57</v>
      </c>
      <c r="P842" s="4" t="str">
        <f t="shared" si="83"/>
        <v>Yes</v>
      </c>
      <c r="Q842" s="4" t="str">
        <f>IF(OR(A842="",C842="",L842="Missing",M842="Missing",O842="0.00",K842="Missing"),"Review","OK")</f>
        <v>OK</v>
      </c>
    </row>
    <row r="843" spans="1:17" x14ac:dyDescent="0.3">
      <c r="A843">
        <v>1014</v>
      </c>
      <c r="B843" t="s">
        <v>2664</v>
      </c>
      <c r="C843">
        <v>29</v>
      </c>
      <c r="D843" t="s">
        <v>11</v>
      </c>
      <c r="E843" s="3">
        <v>45903</v>
      </c>
      <c r="F843" s="3" t="s">
        <v>1051</v>
      </c>
      <c r="G843" t="s">
        <v>2665</v>
      </c>
      <c r="H843" t="s">
        <v>29</v>
      </c>
      <c r="I843" t="s">
        <v>2666</v>
      </c>
      <c r="J843" t="s">
        <v>65</v>
      </c>
      <c r="K843" t="str">
        <f t="shared" si="78"/>
        <v>Michael Hamilton</v>
      </c>
      <c r="L843" t="str">
        <f t="shared" si="79"/>
        <v>Female</v>
      </c>
      <c r="M843" t="str">
        <f t="shared" si="80"/>
        <v>Angie Smith</v>
      </c>
      <c r="N843" s="4" t="str">
        <f t="shared" si="81"/>
        <v>General</v>
      </c>
      <c r="O843" s="6">
        <f t="shared" si="82"/>
        <v>107.34</v>
      </c>
      <c r="P843" s="4" t="str">
        <f t="shared" si="83"/>
        <v>No</v>
      </c>
      <c r="Q843" s="4" t="str">
        <f>IF(OR(A843="",C843="",L843="Missing",M843="Missing",O843="0.00",K843="Missing"),"Review","OK")</f>
        <v>OK</v>
      </c>
    </row>
    <row r="844" spans="1:17" x14ac:dyDescent="0.3">
      <c r="A844">
        <v>1056</v>
      </c>
      <c r="B844" t="s">
        <v>2667</v>
      </c>
      <c r="C844">
        <v>84</v>
      </c>
      <c r="D844" t="s">
        <v>11</v>
      </c>
      <c r="E844" s="3">
        <v>45803</v>
      </c>
      <c r="F844" s="3">
        <v>45596</v>
      </c>
      <c r="G844" t="s">
        <v>2668</v>
      </c>
      <c r="H844" t="s">
        <v>13</v>
      </c>
      <c r="I844" t="s">
        <v>2669</v>
      </c>
      <c r="J844" t="s">
        <v>31</v>
      </c>
      <c r="K844" t="str">
        <f t="shared" si="78"/>
        <v>Courtney Gonzales</v>
      </c>
      <c r="L844" t="str">
        <f t="shared" si="79"/>
        <v>Female</v>
      </c>
      <c r="M844" t="str">
        <f t="shared" si="80"/>
        <v>Kayla Norris</v>
      </c>
      <c r="N844" s="4" t="str">
        <f t="shared" si="81"/>
        <v>Cardiology</v>
      </c>
      <c r="O844" s="6">
        <f t="shared" si="82"/>
        <v>385.01</v>
      </c>
      <c r="P844" s="4" t="str">
        <f t="shared" si="83"/>
        <v>No</v>
      </c>
      <c r="Q844" s="4" t="str">
        <f>IF(OR(A844="",C844="",L844="Missing",M844="Missing",O844="0.00",K844="Missing"),"Review","OK")</f>
        <v>OK</v>
      </c>
    </row>
    <row r="845" spans="1:17" x14ac:dyDescent="0.3">
      <c r="A845">
        <v>1073</v>
      </c>
      <c r="B845" t="s">
        <v>2670</v>
      </c>
      <c r="C845">
        <v>18</v>
      </c>
      <c r="D845" t="s">
        <v>41</v>
      </c>
      <c r="E845" s="3" t="s">
        <v>2671</v>
      </c>
      <c r="F845" s="3">
        <v>45833</v>
      </c>
      <c r="G845" t="s">
        <v>2672</v>
      </c>
      <c r="H845" t="s">
        <v>19</v>
      </c>
      <c r="I845" t="s">
        <v>2673</v>
      </c>
      <c r="J845" t="s">
        <v>21</v>
      </c>
      <c r="K845" t="str">
        <f t="shared" si="78"/>
        <v>Leslie Medina</v>
      </c>
      <c r="L845" t="str">
        <f t="shared" si="79"/>
        <v>Female</v>
      </c>
      <c r="M845" t="str">
        <f t="shared" si="80"/>
        <v>Matthew Morse</v>
      </c>
      <c r="N845" s="4" t="str">
        <f t="shared" si="81"/>
        <v>Orthopedics</v>
      </c>
      <c r="O845" s="6">
        <f t="shared" si="82"/>
        <v>490.93</v>
      </c>
      <c r="P845" s="4" t="str">
        <f t="shared" si="83"/>
        <v>Yes</v>
      </c>
      <c r="Q845" s="4" t="str">
        <f>IF(OR(A845="",C845="",L845="Missing",M845="Missing",O845="0.00",K845="Missing"),"Review","OK")</f>
        <v>OK</v>
      </c>
    </row>
    <row r="846" spans="1:17" x14ac:dyDescent="0.3">
      <c r="A846">
        <v>1009</v>
      </c>
      <c r="B846" t="s">
        <v>2674</v>
      </c>
      <c r="C846">
        <v>30</v>
      </c>
      <c r="D846" t="s">
        <v>41</v>
      </c>
      <c r="E846" s="3">
        <v>45835</v>
      </c>
      <c r="F846" s="3">
        <v>45798</v>
      </c>
      <c r="G846" t="s">
        <v>2675</v>
      </c>
      <c r="H846" t="s">
        <v>29</v>
      </c>
      <c r="I846" t="s">
        <v>2676</v>
      </c>
      <c r="J846" t="s">
        <v>39</v>
      </c>
      <c r="K846" t="str">
        <f t="shared" si="78"/>
        <v>Frank Fields</v>
      </c>
      <c r="L846" t="str">
        <f t="shared" si="79"/>
        <v>Female</v>
      </c>
      <c r="M846" t="str">
        <f t="shared" si="80"/>
        <v>Heather Diaz</v>
      </c>
      <c r="N846" s="4" t="str">
        <f t="shared" si="81"/>
        <v>General</v>
      </c>
      <c r="O846" s="6">
        <f t="shared" si="82"/>
        <v>168.86</v>
      </c>
      <c r="P846" s="4" t="str">
        <f t="shared" si="83"/>
        <v>Yes</v>
      </c>
      <c r="Q846" s="4" t="str">
        <f>IF(OR(A846="",C846="",L846="Missing",M846="Missing",O846="0.00",K846="Missing"),"Review","OK")</f>
        <v>OK</v>
      </c>
    </row>
    <row r="847" spans="1:17" x14ac:dyDescent="0.3">
      <c r="A847">
        <v>1029</v>
      </c>
      <c r="B847" t="s">
        <v>2677</v>
      </c>
      <c r="C847">
        <v>23</v>
      </c>
      <c r="D847" t="s">
        <v>16</v>
      </c>
      <c r="E847" s="3">
        <v>46054</v>
      </c>
      <c r="F847" s="3">
        <v>45904</v>
      </c>
      <c r="G847" t="s">
        <v>2678</v>
      </c>
      <c r="H847" t="s">
        <v>19</v>
      </c>
      <c r="I847" t="s">
        <v>2679</v>
      </c>
      <c r="J847" t="s">
        <v>39</v>
      </c>
      <c r="K847" t="str">
        <f t="shared" si="78"/>
        <v>Darren Douglas</v>
      </c>
      <c r="L847" t="str">
        <f t="shared" si="79"/>
        <v>Female</v>
      </c>
      <c r="M847" t="str">
        <f t="shared" si="80"/>
        <v>Andrew Gordon</v>
      </c>
      <c r="N847" s="4" t="str">
        <f t="shared" si="81"/>
        <v>Orthopedics</v>
      </c>
      <c r="O847" s="6">
        <f t="shared" si="82"/>
        <v>463.06</v>
      </c>
      <c r="P847" s="4" t="str">
        <f t="shared" si="83"/>
        <v>Yes</v>
      </c>
      <c r="Q847" s="4" t="str">
        <f>IF(OR(A847="",C847="",L847="Missing",M847="Missing",O847="0.00",K847="Missing"),"Review","OK")</f>
        <v>OK</v>
      </c>
    </row>
    <row r="848" spans="1:17" x14ac:dyDescent="0.3">
      <c r="A848">
        <v>1047</v>
      </c>
      <c r="B848" t="s">
        <v>2680</v>
      </c>
      <c r="C848">
        <v>66</v>
      </c>
      <c r="D848" t="s">
        <v>76</v>
      </c>
      <c r="E848" s="3">
        <v>45890</v>
      </c>
      <c r="F848" s="3">
        <v>45418</v>
      </c>
      <c r="G848" t="s">
        <v>2681</v>
      </c>
      <c r="H848" t="s">
        <v>29</v>
      </c>
      <c r="I848" t="s">
        <v>2682</v>
      </c>
      <c r="J848">
        <v>0</v>
      </c>
      <c r="K848" t="str">
        <f t="shared" si="78"/>
        <v>Jerry Jones</v>
      </c>
      <c r="L848" t="str">
        <f t="shared" si="79"/>
        <v>Male</v>
      </c>
      <c r="M848" t="str">
        <f t="shared" si="80"/>
        <v>Ashley Gomez</v>
      </c>
      <c r="N848" s="4" t="str">
        <f t="shared" si="81"/>
        <v>General</v>
      </c>
      <c r="O848" s="6">
        <f t="shared" si="82"/>
        <v>261.87</v>
      </c>
      <c r="P848" s="4" t="str">
        <f t="shared" si="83"/>
        <v>No</v>
      </c>
      <c r="Q848" s="4" t="str">
        <f>IF(OR(A848="",C848="",L848="Missing",M848="Missing",O848="0.00",K848="Missing"),"Review","OK")</f>
        <v>OK</v>
      </c>
    </row>
    <row r="849" spans="1:17" x14ac:dyDescent="0.3">
      <c r="A849">
        <v>1091</v>
      </c>
      <c r="B849" t="s">
        <v>2683</v>
      </c>
      <c r="C849">
        <v>25</v>
      </c>
      <c r="D849" t="s">
        <v>23</v>
      </c>
      <c r="E849" s="3">
        <v>45980</v>
      </c>
      <c r="F849" s="3">
        <v>45976</v>
      </c>
      <c r="G849" t="s">
        <v>2684</v>
      </c>
      <c r="H849" t="s">
        <v>13</v>
      </c>
      <c r="I849" t="s">
        <v>2685</v>
      </c>
      <c r="J849" t="s">
        <v>65</v>
      </c>
      <c r="K849" t="str">
        <f t="shared" si="78"/>
        <v>Sheila Barrett</v>
      </c>
      <c r="L849" t="str">
        <f t="shared" si="79"/>
        <v>Male</v>
      </c>
      <c r="M849" t="str">
        <f t="shared" si="80"/>
        <v>John Wallace</v>
      </c>
      <c r="N849" s="4" t="str">
        <f t="shared" si="81"/>
        <v>Cardiology</v>
      </c>
      <c r="O849" s="6">
        <f t="shared" si="82"/>
        <v>170.53</v>
      </c>
      <c r="P849" s="4" t="str">
        <f t="shared" si="83"/>
        <v>No</v>
      </c>
      <c r="Q849" s="4" t="str">
        <f>IF(OR(A849="",C849="",L849="Missing",M849="Missing",O849="0.00",K849="Missing"),"Review","OK")</f>
        <v>OK</v>
      </c>
    </row>
    <row r="850" spans="1:17" x14ac:dyDescent="0.3">
      <c r="A850">
        <v>1026</v>
      </c>
      <c r="B850" t="s">
        <v>2686</v>
      </c>
      <c r="C850">
        <v>56</v>
      </c>
      <c r="D850" t="s">
        <v>16</v>
      </c>
      <c r="E850" s="3">
        <v>46011</v>
      </c>
      <c r="F850" s="3">
        <v>45832</v>
      </c>
      <c r="G850" t="s">
        <v>2687</v>
      </c>
      <c r="H850" t="s">
        <v>29</v>
      </c>
      <c r="I850" t="s">
        <v>2688</v>
      </c>
      <c r="J850" t="s">
        <v>65</v>
      </c>
      <c r="K850" t="str">
        <f t="shared" si="78"/>
        <v>Kim Morris</v>
      </c>
      <c r="L850" t="str">
        <f t="shared" si="79"/>
        <v>Female</v>
      </c>
      <c r="M850" t="str">
        <f t="shared" si="80"/>
        <v>Michael Morris</v>
      </c>
      <c r="N850" s="4" t="str">
        <f t="shared" si="81"/>
        <v>General</v>
      </c>
      <c r="O850" s="6">
        <f t="shared" si="82"/>
        <v>197.66</v>
      </c>
      <c r="P850" s="4" t="str">
        <f t="shared" si="83"/>
        <v>No</v>
      </c>
      <c r="Q850" s="4" t="str">
        <f>IF(OR(A850="",C850="",L850="Missing",M850="Missing",O850="0.00",K850="Missing"),"Review","OK")</f>
        <v>OK</v>
      </c>
    </row>
    <row r="851" spans="1:17" x14ac:dyDescent="0.3">
      <c r="A851">
        <v>1075</v>
      </c>
      <c r="B851" t="s">
        <v>2689</v>
      </c>
      <c r="C851">
        <v>85</v>
      </c>
      <c r="D851">
        <v>0</v>
      </c>
      <c r="E851" s="3">
        <v>46090</v>
      </c>
      <c r="F851" s="3">
        <v>45734</v>
      </c>
      <c r="G851" t="s">
        <v>2690</v>
      </c>
      <c r="H851" t="s">
        <v>25</v>
      </c>
      <c r="I851" t="s">
        <v>2691</v>
      </c>
      <c r="J851" t="s">
        <v>31</v>
      </c>
      <c r="K851" t="str">
        <f t="shared" si="78"/>
        <v>Sarah Rivas</v>
      </c>
      <c r="L851" t="str">
        <f t="shared" si="79"/>
        <v>Male</v>
      </c>
      <c r="M851" t="str">
        <f t="shared" si="80"/>
        <v>Scott Vega</v>
      </c>
      <c r="N851" s="4" t="str">
        <f t="shared" si="81"/>
        <v>Neurology</v>
      </c>
      <c r="O851" s="6">
        <f t="shared" si="82"/>
        <v>454.23</v>
      </c>
      <c r="P851" s="4" t="str">
        <f t="shared" si="83"/>
        <v>No</v>
      </c>
      <c r="Q851" s="4" t="str">
        <f>IF(OR(A851="",C851="",L851="Missing",M851="Missing",O851="0.00",K851="Missing"),"Review","OK")</f>
        <v>OK</v>
      </c>
    </row>
    <row r="852" spans="1:17" x14ac:dyDescent="0.3">
      <c r="A852">
        <v>1089</v>
      </c>
      <c r="B852" t="s">
        <v>2692</v>
      </c>
      <c r="C852">
        <v>76</v>
      </c>
      <c r="D852" t="s">
        <v>41</v>
      </c>
      <c r="E852" s="3">
        <v>46102</v>
      </c>
      <c r="F852" s="3">
        <v>45555</v>
      </c>
      <c r="G852" t="s">
        <v>2693</v>
      </c>
      <c r="H852" t="s">
        <v>25</v>
      </c>
      <c r="I852" t="s">
        <v>2694</v>
      </c>
      <c r="J852" t="s">
        <v>21</v>
      </c>
      <c r="K852" t="str">
        <f t="shared" si="78"/>
        <v>Adam Lane</v>
      </c>
      <c r="L852" t="str">
        <f t="shared" si="79"/>
        <v>Female</v>
      </c>
      <c r="M852" t="str">
        <f t="shared" si="80"/>
        <v>Lynn Dorsey</v>
      </c>
      <c r="N852" s="4" t="str">
        <f t="shared" si="81"/>
        <v>Neurology</v>
      </c>
      <c r="O852" s="6">
        <f t="shared" si="82"/>
        <v>104.3</v>
      </c>
      <c r="P852" s="4" t="str">
        <f t="shared" si="83"/>
        <v>Yes</v>
      </c>
      <c r="Q852" s="4" t="str">
        <f>IF(OR(A852="",C852="",L852="Missing",M852="Missing",O852="0.00",K852="Missing"),"Review","OK")</f>
        <v>OK</v>
      </c>
    </row>
    <row r="853" spans="1:17" x14ac:dyDescent="0.3">
      <c r="A853">
        <v>1031</v>
      </c>
      <c r="B853" t="s">
        <v>2695</v>
      </c>
      <c r="C853">
        <v>43</v>
      </c>
      <c r="D853" t="s">
        <v>23</v>
      </c>
      <c r="E853" s="3">
        <v>45896</v>
      </c>
      <c r="F853" s="3">
        <v>45423</v>
      </c>
      <c r="G853" t="s">
        <v>2696</v>
      </c>
      <c r="H853" t="s">
        <v>25</v>
      </c>
      <c r="I853" t="s">
        <v>2697</v>
      </c>
      <c r="J853">
        <v>1</v>
      </c>
      <c r="K853" t="str">
        <f t="shared" si="78"/>
        <v>Ronald Taylor</v>
      </c>
      <c r="L853" t="str">
        <f t="shared" si="79"/>
        <v>Male</v>
      </c>
      <c r="M853" t="str">
        <f t="shared" si="80"/>
        <v>Vanessa Jackson</v>
      </c>
      <c r="N853" s="4" t="str">
        <f t="shared" si="81"/>
        <v>Neurology</v>
      </c>
      <c r="O853" s="6">
        <f t="shared" si="82"/>
        <v>263.10000000000002</v>
      </c>
      <c r="P853" s="4" t="str">
        <f t="shared" si="83"/>
        <v>Yes</v>
      </c>
      <c r="Q853" s="4" t="str">
        <f>IF(OR(A853="",C853="",L853="Missing",M853="Missing",O853="0.00",K853="Missing"),"Review","OK")</f>
        <v>OK</v>
      </c>
    </row>
    <row r="854" spans="1:17" x14ac:dyDescent="0.3">
      <c r="A854">
        <v>1082</v>
      </c>
      <c r="B854" t="s">
        <v>2698</v>
      </c>
      <c r="C854">
        <v>51</v>
      </c>
      <c r="D854" t="s">
        <v>76</v>
      </c>
      <c r="E854" s="3">
        <v>45697</v>
      </c>
      <c r="F854" s="3">
        <v>45884</v>
      </c>
      <c r="G854" t="s">
        <v>2699</v>
      </c>
      <c r="H854" t="s">
        <v>19</v>
      </c>
      <c r="I854" t="s">
        <v>2700</v>
      </c>
      <c r="J854" t="s">
        <v>65</v>
      </c>
      <c r="K854" t="str">
        <f t="shared" si="78"/>
        <v>Angela Smith</v>
      </c>
      <c r="L854" t="str">
        <f t="shared" si="79"/>
        <v>Male</v>
      </c>
      <c r="M854" t="str">
        <f t="shared" si="80"/>
        <v>Nicholas Jones</v>
      </c>
      <c r="N854" s="4" t="str">
        <f t="shared" si="81"/>
        <v>Orthopedics</v>
      </c>
      <c r="O854" s="6">
        <f t="shared" si="82"/>
        <v>229.44</v>
      </c>
      <c r="P854" s="4" t="str">
        <f t="shared" si="83"/>
        <v>No</v>
      </c>
      <c r="Q854" s="4" t="str">
        <f>IF(OR(A854="",C854="",L854="Missing",M854="Missing",O854="0.00",K854="Missing"),"Review","OK")</f>
        <v>OK</v>
      </c>
    </row>
    <row r="855" spans="1:17" x14ac:dyDescent="0.3">
      <c r="A855">
        <v>1022</v>
      </c>
      <c r="B855" t="s">
        <v>2701</v>
      </c>
      <c r="C855">
        <v>89</v>
      </c>
      <c r="D855">
        <v>0</v>
      </c>
      <c r="E855" s="3">
        <v>46055</v>
      </c>
      <c r="F855" s="3">
        <v>45665</v>
      </c>
      <c r="G855" t="s">
        <v>2702</v>
      </c>
      <c r="H855" t="s">
        <v>25</v>
      </c>
      <c r="I855" t="s">
        <v>2703</v>
      </c>
      <c r="J855">
        <v>1</v>
      </c>
      <c r="K855" t="str">
        <f t="shared" si="78"/>
        <v>Chad Tyler</v>
      </c>
      <c r="L855" t="str">
        <f t="shared" si="79"/>
        <v>Male</v>
      </c>
      <c r="M855" t="str">
        <f t="shared" si="80"/>
        <v>Tiffany Sullivan</v>
      </c>
      <c r="N855" s="4" t="str">
        <f t="shared" si="81"/>
        <v>Neurology</v>
      </c>
      <c r="O855" s="6">
        <f t="shared" si="82"/>
        <v>424.53</v>
      </c>
      <c r="P855" s="4" t="str">
        <f t="shared" si="83"/>
        <v>Yes</v>
      </c>
      <c r="Q855" s="4" t="str">
        <f>IF(OR(A855="",C855="",L855="Missing",M855="Missing",O855="0.00",K855="Missing"),"Review","OK")</f>
        <v>OK</v>
      </c>
    </row>
    <row r="856" spans="1:17" x14ac:dyDescent="0.3">
      <c r="A856">
        <v>1063</v>
      </c>
      <c r="B856" t="s">
        <v>2704</v>
      </c>
      <c r="C856">
        <v>48</v>
      </c>
      <c r="D856" t="s">
        <v>16</v>
      </c>
      <c r="E856" s="3">
        <v>46045</v>
      </c>
      <c r="F856" s="3">
        <v>45943</v>
      </c>
      <c r="G856" t="s">
        <v>2705</v>
      </c>
      <c r="H856" t="s">
        <v>19</v>
      </c>
      <c r="I856" t="s">
        <v>2706</v>
      </c>
      <c r="J856" t="s">
        <v>31</v>
      </c>
      <c r="K856" t="str">
        <f t="shared" si="78"/>
        <v>Mary Manning</v>
      </c>
      <c r="L856" t="str">
        <f t="shared" si="79"/>
        <v>Female</v>
      </c>
      <c r="M856" t="str">
        <f t="shared" si="80"/>
        <v>William Harris</v>
      </c>
      <c r="N856" s="4" t="str">
        <f t="shared" si="81"/>
        <v>Orthopedics</v>
      </c>
      <c r="O856" s="6">
        <f t="shared" si="82"/>
        <v>248.84</v>
      </c>
      <c r="P856" s="4" t="str">
        <f t="shared" si="83"/>
        <v>No</v>
      </c>
      <c r="Q856" s="4" t="str">
        <f>IF(OR(A856="",C856="",L856="Missing",M856="Missing",O856="0.00",K856="Missing"),"Review","OK")</f>
        <v>OK</v>
      </c>
    </row>
    <row r="857" spans="1:17" x14ac:dyDescent="0.3">
      <c r="A857">
        <v>1009</v>
      </c>
      <c r="B857" t="s">
        <v>2707</v>
      </c>
      <c r="C857">
        <v>37</v>
      </c>
      <c r="D857" t="s">
        <v>23</v>
      </c>
      <c r="E857" s="3">
        <v>45861</v>
      </c>
      <c r="F857" s="3">
        <v>45730</v>
      </c>
      <c r="G857" t="s">
        <v>2708</v>
      </c>
      <c r="H857" t="s">
        <v>13</v>
      </c>
      <c r="I857" t="s">
        <v>2709</v>
      </c>
      <c r="J857" t="s">
        <v>31</v>
      </c>
      <c r="K857" t="str">
        <f t="shared" si="78"/>
        <v>Samantha Hoffman</v>
      </c>
      <c r="L857" t="str">
        <f t="shared" si="79"/>
        <v>Male</v>
      </c>
      <c r="M857" t="str">
        <f t="shared" si="80"/>
        <v>Julie Smith</v>
      </c>
      <c r="N857" s="4" t="str">
        <f t="shared" si="81"/>
        <v>Cardiology</v>
      </c>
      <c r="O857" s="6">
        <f t="shared" si="82"/>
        <v>89.38</v>
      </c>
      <c r="P857" s="4" t="str">
        <f t="shared" si="83"/>
        <v>No</v>
      </c>
      <c r="Q857" s="4" t="str">
        <f>IF(OR(A857="",C857="",L857="Missing",M857="Missing",O857="0.00",K857="Missing"),"Review","OK")</f>
        <v>OK</v>
      </c>
    </row>
    <row r="858" spans="1:17" x14ac:dyDescent="0.3">
      <c r="A858">
        <v>1079</v>
      </c>
      <c r="B858" t="s">
        <v>2710</v>
      </c>
      <c r="C858">
        <v>64</v>
      </c>
      <c r="D858">
        <v>1</v>
      </c>
      <c r="E858" s="3">
        <v>45871</v>
      </c>
      <c r="F858" s="3" t="s">
        <v>1586</v>
      </c>
      <c r="G858" t="s">
        <v>2711</v>
      </c>
      <c r="H858" t="s">
        <v>25</v>
      </c>
      <c r="I858" t="s">
        <v>2712</v>
      </c>
      <c r="J858" t="s">
        <v>39</v>
      </c>
      <c r="K858" t="str">
        <f t="shared" si="78"/>
        <v>Shawn Juarez</v>
      </c>
      <c r="L858" t="str">
        <f t="shared" si="79"/>
        <v>Female</v>
      </c>
      <c r="M858" t="str">
        <f t="shared" si="80"/>
        <v>Patrick Morrison</v>
      </c>
      <c r="N858" s="4" t="str">
        <f t="shared" si="81"/>
        <v>Neurology</v>
      </c>
      <c r="O858" s="6">
        <f t="shared" si="82"/>
        <v>110.8</v>
      </c>
      <c r="P858" s="4" t="str">
        <f t="shared" si="83"/>
        <v>Yes</v>
      </c>
      <c r="Q858" s="4" t="str">
        <f>IF(OR(A858="",C858="",L858="Missing",M858="Missing",O858="0.00",K858="Missing"),"Review","OK")</f>
        <v>OK</v>
      </c>
    </row>
    <row r="859" spans="1:17" x14ac:dyDescent="0.3">
      <c r="A859">
        <v>1001</v>
      </c>
      <c r="B859" t="s">
        <v>2713</v>
      </c>
      <c r="C859">
        <v>25</v>
      </c>
      <c r="D859" t="s">
        <v>16</v>
      </c>
      <c r="E859" s="3">
        <v>46062</v>
      </c>
      <c r="F859" s="3">
        <v>45676</v>
      </c>
      <c r="G859" t="s">
        <v>2714</v>
      </c>
      <c r="H859" t="s">
        <v>19</v>
      </c>
      <c r="I859" t="s">
        <v>2715</v>
      </c>
      <c r="J859">
        <v>1</v>
      </c>
      <c r="K859" t="str">
        <f t="shared" si="78"/>
        <v>Dave Summers</v>
      </c>
      <c r="L859" t="str">
        <f t="shared" si="79"/>
        <v>Female</v>
      </c>
      <c r="M859" t="str">
        <f t="shared" si="80"/>
        <v>Traci Hopkins</v>
      </c>
      <c r="N859" s="4" t="str">
        <f t="shared" si="81"/>
        <v>Orthopedics</v>
      </c>
      <c r="O859" s="6">
        <f t="shared" si="82"/>
        <v>217.51</v>
      </c>
      <c r="P859" s="4" t="str">
        <f t="shared" si="83"/>
        <v>Yes</v>
      </c>
      <c r="Q859" s="4" t="str">
        <f>IF(OR(A859="",C859="",L859="Missing",M859="Missing",O859="0.00",K859="Missing"),"Review","OK")</f>
        <v>OK</v>
      </c>
    </row>
    <row r="860" spans="1:17" x14ac:dyDescent="0.3">
      <c r="A860">
        <v>1022</v>
      </c>
      <c r="B860" t="s">
        <v>2716</v>
      </c>
      <c r="C860">
        <v>78</v>
      </c>
      <c r="D860" t="s">
        <v>56</v>
      </c>
      <c r="E860" s="3">
        <v>45939</v>
      </c>
      <c r="F860" s="3">
        <v>45832</v>
      </c>
      <c r="G860" t="s">
        <v>2717</v>
      </c>
      <c r="H860" t="s">
        <v>29</v>
      </c>
      <c r="I860" t="s">
        <v>2718</v>
      </c>
      <c r="J860" t="s">
        <v>21</v>
      </c>
      <c r="K860" t="str">
        <f t="shared" si="78"/>
        <v>Luke Brady</v>
      </c>
      <c r="L860" t="str">
        <f t="shared" si="79"/>
        <v>Male</v>
      </c>
      <c r="M860" t="str">
        <f t="shared" si="80"/>
        <v>Adam Hall</v>
      </c>
      <c r="N860" s="4" t="str">
        <f t="shared" si="81"/>
        <v>General</v>
      </c>
      <c r="O860" s="6">
        <f t="shared" si="82"/>
        <v>427.98</v>
      </c>
      <c r="P860" s="4" t="str">
        <f t="shared" si="83"/>
        <v>Yes</v>
      </c>
      <c r="Q860" s="4" t="str">
        <f>IF(OR(A860="",C860="",L860="Missing",M860="Missing",O860="0.00",K860="Missing"),"Review","OK")</f>
        <v>OK</v>
      </c>
    </row>
    <row r="861" spans="1:17" x14ac:dyDescent="0.3">
      <c r="A861">
        <v>1008</v>
      </c>
      <c r="B861" t="s">
        <v>2719</v>
      </c>
      <c r="C861">
        <v>77</v>
      </c>
      <c r="D861" t="s">
        <v>41</v>
      </c>
      <c r="E861" s="3">
        <v>46029</v>
      </c>
      <c r="F861" s="3">
        <v>45472</v>
      </c>
      <c r="G861" t="s">
        <v>2720</v>
      </c>
      <c r="H861" t="s">
        <v>13</v>
      </c>
      <c r="I861" t="s">
        <v>2721</v>
      </c>
      <c r="J861" t="s">
        <v>21</v>
      </c>
      <c r="K861" t="str">
        <f t="shared" si="78"/>
        <v>Christian Guerrero</v>
      </c>
      <c r="L861" t="str">
        <f t="shared" si="79"/>
        <v>Female</v>
      </c>
      <c r="M861" t="str">
        <f t="shared" si="80"/>
        <v>Jennifer Perez</v>
      </c>
      <c r="N861" s="4" t="str">
        <f t="shared" si="81"/>
        <v>Cardiology</v>
      </c>
      <c r="O861" s="6">
        <f t="shared" si="82"/>
        <v>298.89</v>
      </c>
      <c r="P861" s="4" t="str">
        <f t="shared" si="83"/>
        <v>Yes</v>
      </c>
      <c r="Q861" s="4" t="str">
        <f>IF(OR(A861="",C861="",L861="Missing",M861="Missing",O861="0.00",K861="Missing"),"Review","OK")</f>
        <v>OK</v>
      </c>
    </row>
    <row r="862" spans="1:17" x14ac:dyDescent="0.3">
      <c r="A862">
        <v>1100</v>
      </c>
      <c r="B862" t="s">
        <v>2722</v>
      </c>
      <c r="C862">
        <v>46</v>
      </c>
      <c r="D862" t="s">
        <v>56</v>
      </c>
      <c r="E862" s="3">
        <v>46054</v>
      </c>
      <c r="F862" s="3" t="s">
        <v>2723</v>
      </c>
      <c r="G862" t="s">
        <v>2724</v>
      </c>
      <c r="H862" t="s">
        <v>13</v>
      </c>
      <c r="I862" t="s">
        <v>2725</v>
      </c>
      <c r="J862" t="s">
        <v>21</v>
      </c>
      <c r="K862" t="str">
        <f t="shared" si="78"/>
        <v>Terrence Long</v>
      </c>
      <c r="L862" t="str">
        <f t="shared" si="79"/>
        <v>Male</v>
      </c>
      <c r="M862" t="str">
        <f t="shared" si="80"/>
        <v>Natalie Rodriguez</v>
      </c>
      <c r="N862" s="4" t="str">
        <f t="shared" si="81"/>
        <v>Cardiology</v>
      </c>
      <c r="O862" s="6">
        <f t="shared" si="82"/>
        <v>182.71</v>
      </c>
      <c r="P862" s="4" t="str">
        <f t="shared" si="83"/>
        <v>Yes</v>
      </c>
      <c r="Q862" s="4" t="str">
        <f>IF(OR(A862="",C862="",L862="Missing",M862="Missing",O862="0.00",K862="Missing"),"Review","OK")</f>
        <v>OK</v>
      </c>
    </row>
    <row r="863" spans="1:17" x14ac:dyDescent="0.3">
      <c r="A863">
        <v>1074</v>
      </c>
      <c r="B863" t="s">
        <v>2726</v>
      </c>
      <c r="C863">
        <v>90</v>
      </c>
      <c r="D863" t="s">
        <v>16</v>
      </c>
      <c r="E863" s="3">
        <v>45966</v>
      </c>
      <c r="F863" s="3">
        <v>45449</v>
      </c>
      <c r="G863" t="s">
        <v>2727</v>
      </c>
      <c r="H863" t="s">
        <v>29</v>
      </c>
      <c r="I863" t="s">
        <v>2728</v>
      </c>
      <c r="J863">
        <v>0</v>
      </c>
      <c r="K863" t="str">
        <f t="shared" si="78"/>
        <v>Victor Everett</v>
      </c>
      <c r="L863" t="str">
        <f t="shared" si="79"/>
        <v>Female</v>
      </c>
      <c r="M863" t="str">
        <f t="shared" si="80"/>
        <v>Jacob Diaz</v>
      </c>
      <c r="N863" s="4" t="str">
        <f t="shared" si="81"/>
        <v>General</v>
      </c>
      <c r="O863" s="6">
        <f t="shared" si="82"/>
        <v>350.12</v>
      </c>
      <c r="P863" s="4" t="str">
        <f t="shared" si="83"/>
        <v>No</v>
      </c>
      <c r="Q863" s="4" t="str">
        <f>IF(OR(A863="",C863="",L863="Missing",M863="Missing",O863="0.00",K863="Missing"),"Review","OK")</f>
        <v>OK</v>
      </c>
    </row>
    <row r="864" spans="1:17" x14ac:dyDescent="0.3">
      <c r="A864">
        <v>1037</v>
      </c>
      <c r="B864" t="s">
        <v>2729</v>
      </c>
      <c r="C864">
        <v>26</v>
      </c>
      <c r="D864">
        <v>1</v>
      </c>
      <c r="E864" s="3">
        <v>46039</v>
      </c>
      <c r="F864" s="3">
        <v>45471</v>
      </c>
      <c r="G864" t="s">
        <v>2730</v>
      </c>
      <c r="H864" t="s">
        <v>29</v>
      </c>
      <c r="I864" t="s">
        <v>2731</v>
      </c>
      <c r="J864">
        <v>0</v>
      </c>
      <c r="K864" t="str">
        <f t="shared" si="78"/>
        <v>Amanda Stevenson</v>
      </c>
      <c r="L864" t="str">
        <f t="shared" si="79"/>
        <v>Female</v>
      </c>
      <c r="M864" t="str">
        <f t="shared" si="80"/>
        <v>Tyler Cunningham</v>
      </c>
      <c r="N864" s="4" t="str">
        <f t="shared" si="81"/>
        <v>General</v>
      </c>
      <c r="O864" s="6">
        <f t="shared" si="82"/>
        <v>158.91</v>
      </c>
      <c r="P864" s="4" t="str">
        <f t="shared" si="83"/>
        <v>No</v>
      </c>
      <c r="Q864" s="4" t="str">
        <f>IF(OR(A864="",C864="",L864="Missing",M864="Missing",O864="0.00",K864="Missing"),"Review","OK")</f>
        <v>OK</v>
      </c>
    </row>
    <row r="865" spans="1:17" x14ac:dyDescent="0.3">
      <c r="A865">
        <v>1094</v>
      </c>
      <c r="B865" t="s">
        <v>2732</v>
      </c>
      <c r="C865">
        <v>22</v>
      </c>
      <c r="D865" t="s">
        <v>16</v>
      </c>
      <c r="E865" s="3">
        <v>46097</v>
      </c>
      <c r="F865" s="3">
        <v>45622</v>
      </c>
      <c r="G865" t="s">
        <v>2733</v>
      </c>
      <c r="H865" t="s">
        <v>19</v>
      </c>
      <c r="I865" t="s">
        <v>2734</v>
      </c>
      <c r="J865">
        <v>1</v>
      </c>
      <c r="K865" t="str">
        <f t="shared" si="78"/>
        <v>Vanessa Perkins</v>
      </c>
      <c r="L865" t="str">
        <f t="shared" si="79"/>
        <v>Female</v>
      </c>
      <c r="M865" t="str">
        <f t="shared" si="80"/>
        <v>Megan Smith</v>
      </c>
      <c r="N865" s="4" t="str">
        <f t="shared" si="81"/>
        <v>Orthopedics</v>
      </c>
      <c r="O865" s="6">
        <f t="shared" si="82"/>
        <v>457.94</v>
      </c>
      <c r="P865" s="4" t="str">
        <f t="shared" si="83"/>
        <v>Yes</v>
      </c>
      <c r="Q865" s="4" t="str">
        <f>IF(OR(A865="",C865="",L865="Missing",M865="Missing",O865="0.00",K865="Missing"),"Review","OK")</f>
        <v>OK</v>
      </c>
    </row>
    <row r="866" spans="1:17" x14ac:dyDescent="0.3">
      <c r="A866">
        <v>1066</v>
      </c>
      <c r="B866" t="s">
        <v>2735</v>
      </c>
      <c r="C866">
        <v>36</v>
      </c>
      <c r="D866">
        <v>0</v>
      </c>
      <c r="E866" s="3">
        <v>46033</v>
      </c>
      <c r="F866" s="3" t="s">
        <v>2736</v>
      </c>
      <c r="G866" t="s">
        <v>2737</v>
      </c>
      <c r="H866" t="s">
        <v>13</v>
      </c>
      <c r="I866" t="s">
        <v>2738</v>
      </c>
      <c r="J866" t="s">
        <v>65</v>
      </c>
      <c r="K866" t="str">
        <f t="shared" si="78"/>
        <v>Michael Davis</v>
      </c>
      <c r="L866" t="str">
        <f t="shared" si="79"/>
        <v>Male</v>
      </c>
      <c r="M866" t="str">
        <f t="shared" si="80"/>
        <v>Karen Griffin</v>
      </c>
      <c r="N866" s="4" t="str">
        <f t="shared" si="81"/>
        <v>Cardiology</v>
      </c>
      <c r="O866" s="6">
        <f t="shared" si="82"/>
        <v>130.9</v>
      </c>
      <c r="P866" s="4" t="str">
        <f t="shared" si="83"/>
        <v>No</v>
      </c>
      <c r="Q866" s="4" t="str">
        <f>IF(OR(A866="",C866="",L866="Missing",M866="Missing",O866="0.00",K866="Missing"),"Review","OK")</f>
        <v>OK</v>
      </c>
    </row>
    <row r="867" spans="1:17" x14ac:dyDescent="0.3">
      <c r="A867">
        <v>1084</v>
      </c>
      <c r="B867" t="s">
        <v>2739</v>
      </c>
      <c r="C867">
        <v>83</v>
      </c>
      <c r="D867" t="s">
        <v>41</v>
      </c>
      <c r="E867" s="3">
        <v>45865</v>
      </c>
      <c r="F867" s="3">
        <v>45744</v>
      </c>
      <c r="G867" t="s">
        <v>2740</v>
      </c>
      <c r="H867" t="s">
        <v>19</v>
      </c>
      <c r="I867" t="s">
        <v>2741</v>
      </c>
      <c r="J867" t="s">
        <v>31</v>
      </c>
      <c r="K867" t="str">
        <f t="shared" si="78"/>
        <v>Amy Pierce</v>
      </c>
      <c r="L867" t="str">
        <f t="shared" si="79"/>
        <v>Female</v>
      </c>
      <c r="M867" t="str">
        <f t="shared" si="80"/>
        <v>Ian Castillo</v>
      </c>
      <c r="N867" s="4" t="str">
        <f t="shared" si="81"/>
        <v>Orthopedics</v>
      </c>
      <c r="O867" s="6">
        <f t="shared" si="82"/>
        <v>318.44</v>
      </c>
      <c r="P867" s="4" t="str">
        <f t="shared" si="83"/>
        <v>No</v>
      </c>
      <c r="Q867" s="4" t="str">
        <f>IF(OR(A867="",C867="",L867="Missing",M867="Missing",O867="0.00",K867="Missing"),"Review","OK")</f>
        <v>OK</v>
      </c>
    </row>
    <row r="868" spans="1:17" x14ac:dyDescent="0.3">
      <c r="A868">
        <v>1008</v>
      </c>
      <c r="B868" t="s">
        <v>2742</v>
      </c>
      <c r="C868">
        <v>44</v>
      </c>
      <c r="D868" t="s">
        <v>16</v>
      </c>
      <c r="E868" s="3">
        <v>45937</v>
      </c>
      <c r="F868" s="3" t="s">
        <v>2743</v>
      </c>
      <c r="G868" t="s">
        <v>2744</v>
      </c>
      <c r="H868" t="s">
        <v>25</v>
      </c>
      <c r="I868" t="s">
        <v>2745</v>
      </c>
      <c r="J868">
        <v>0</v>
      </c>
      <c r="K868" t="str">
        <f t="shared" si="78"/>
        <v>Dakota Kelly</v>
      </c>
      <c r="L868" t="str">
        <f t="shared" si="79"/>
        <v>Female</v>
      </c>
      <c r="M868" t="str">
        <f t="shared" si="80"/>
        <v>Andre Jones</v>
      </c>
      <c r="N868" s="4" t="str">
        <f t="shared" si="81"/>
        <v>Neurology</v>
      </c>
      <c r="O868" s="6">
        <f t="shared" si="82"/>
        <v>291.99</v>
      </c>
      <c r="P868" s="4" t="str">
        <f t="shared" si="83"/>
        <v>No</v>
      </c>
      <c r="Q868" s="4" t="str">
        <f>IF(OR(A868="",C868="",L868="Missing",M868="Missing",O868="0.00",K868="Missing"),"Review","OK")</f>
        <v>OK</v>
      </c>
    </row>
    <row r="869" spans="1:17" x14ac:dyDescent="0.3">
      <c r="A869">
        <v>1039</v>
      </c>
      <c r="B869" t="s">
        <v>2746</v>
      </c>
      <c r="C869">
        <v>69</v>
      </c>
      <c r="D869" t="s">
        <v>11</v>
      </c>
      <c r="E869" s="3">
        <v>46057</v>
      </c>
      <c r="F869" s="3">
        <v>45582</v>
      </c>
      <c r="G869" t="s">
        <v>2747</v>
      </c>
      <c r="H869" t="s">
        <v>13</v>
      </c>
      <c r="I869" t="s">
        <v>2748</v>
      </c>
      <c r="J869" t="s">
        <v>21</v>
      </c>
      <c r="K869" t="str">
        <f t="shared" si="78"/>
        <v>Erin Williams</v>
      </c>
      <c r="L869" t="str">
        <f t="shared" si="79"/>
        <v>Female</v>
      </c>
      <c r="M869" t="str">
        <f t="shared" si="80"/>
        <v>Sean Hernandez</v>
      </c>
      <c r="N869" s="4" t="str">
        <f t="shared" si="81"/>
        <v>Cardiology</v>
      </c>
      <c r="O869" s="6">
        <f t="shared" si="82"/>
        <v>161.56</v>
      </c>
      <c r="P869" s="4" t="str">
        <f t="shared" si="83"/>
        <v>Yes</v>
      </c>
      <c r="Q869" s="4" t="str">
        <f>IF(OR(A869="",C869="",L869="Missing",M869="Missing",O869="0.00",K869="Missing"),"Review","OK")</f>
        <v>OK</v>
      </c>
    </row>
    <row r="870" spans="1:17" x14ac:dyDescent="0.3">
      <c r="A870">
        <v>1092</v>
      </c>
      <c r="B870" t="s">
        <v>2749</v>
      </c>
      <c r="C870">
        <v>58</v>
      </c>
      <c r="D870" t="s">
        <v>23</v>
      </c>
      <c r="E870" s="3">
        <v>45843</v>
      </c>
      <c r="F870" s="3">
        <v>45793</v>
      </c>
      <c r="G870" t="s">
        <v>2750</v>
      </c>
      <c r="H870" t="s">
        <v>29</v>
      </c>
      <c r="I870" t="s">
        <v>2751</v>
      </c>
      <c r="J870" t="s">
        <v>21</v>
      </c>
      <c r="K870" t="str">
        <f t="shared" si="78"/>
        <v>Tiffany Cooper</v>
      </c>
      <c r="L870" t="str">
        <f t="shared" si="79"/>
        <v>Male</v>
      </c>
      <c r="M870" t="str">
        <f t="shared" si="80"/>
        <v>Katrina Jones</v>
      </c>
      <c r="N870" s="4" t="str">
        <f t="shared" si="81"/>
        <v>General</v>
      </c>
      <c r="O870" s="6">
        <f t="shared" si="82"/>
        <v>79.8</v>
      </c>
      <c r="P870" s="4" t="str">
        <f t="shared" si="83"/>
        <v>Yes</v>
      </c>
      <c r="Q870" s="4" t="str">
        <f>IF(OR(A870="",C870="",L870="Missing",M870="Missing",O870="0.00",K870="Missing"),"Review","OK")</f>
        <v>OK</v>
      </c>
    </row>
    <row r="871" spans="1:17" x14ac:dyDescent="0.3">
      <c r="A871">
        <v>1023</v>
      </c>
      <c r="B871" t="s">
        <v>2752</v>
      </c>
      <c r="C871">
        <v>76</v>
      </c>
      <c r="D871">
        <v>1</v>
      </c>
      <c r="E871" s="3">
        <v>45888</v>
      </c>
      <c r="F871" s="3">
        <v>45884</v>
      </c>
      <c r="G871" t="s">
        <v>2753</v>
      </c>
      <c r="H871" t="s">
        <v>29</v>
      </c>
      <c r="I871" t="s">
        <v>2754</v>
      </c>
      <c r="J871">
        <v>1</v>
      </c>
      <c r="K871" t="str">
        <f t="shared" si="78"/>
        <v>Jerry White</v>
      </c>
      <c r="L871" t="str">
        <f t="shared" si="79"/>
        <v>Female</v>
      </c>
      <c r="M871" t="str">
        <f t="shared" si="80"/>
        <v>Steven Scott</v>
      </c>
      <c r="N871" s="4" t="str">
        <f t="shared" si="81"/>
        <v>General</v>
      </c>
      <c r="O871" s="6">
        <f t="shared" si="82"/>
        <v>151.58000000000001</v>
      </c>
      <c r="P871" s="4" t="str">
        <f t="shared" si="83"/>
        <v>Yes</v>
      </c>
      <c r="Q871" s="4" t="str">
        <f>IF(OR(A871="",C871="",L871="Missing",M871="Missing",O871="0.00",K871="Missing"),"Review","OK")</f>
        <v>OK</v>
      </c>
    </row>
    <row r="872" spans="1:17" x14ac:dyDescent="0.3">
      <c r="A872">
        <v>1004</v>
      </c>
      <c r="B872" t="s">
        <v>2755</v>
      </c>
      <c r="C872">
        <v>67</v>
      </c>
      <c r="D872">
        <v>1</v>
      </c>
      <c r="E872" s="3">
        <v>45981</v>
      </c>
      <c r="F872" s="3">
        <v>45696</v>
      </c>
      <c r="G872" t="s">
        <v>2756</v>
      </c>
      <c r="H872" t="s">
        <v>25</v>
      </c>
      <c r="I872" t="s">
        <v>2757</v>
      </c>
      <c r="J872" t="s">
        <v>39</v>
      </c>
      <c r="K872" t="str">
        <f t="shared" si="78"/>
        <v>Joseph Pace</v>
      </c>
      <c r="L872" t="str">
        <f t="shared" si="79"/>
        <v>Female</v>
      </c>
      <c r="M872" t="str">
        <f t="shared" si="80"/>
        <v>Lydia Baker</v>
      </c>
      <c r="N872" s="4" t="str">
        <f t="shared" si="81"/>
        <v>Neurology</v>
      </c>
      <c r="O872" s="6">
        <f t="shared" si="82"/>
        <v>338.13</v>
      </c>
      <c r="P872" s="4" t="str">
        <f t="shared" si="83"/>
        <v>Yes</v>
      </c>
      <c r="Q872" s="4" t="str">
        <f>IF(OR(A872="",C872="",L872="Missing",M872="Missing",O872="0.00",K872="Missing"),"Review","OK")</f>
        <v>OK</v>
      </c>
    </row>
    <row r="873" spans="1:17" x14ac:dyDescent="0.3">
      <c r="A873">
        <v>1056</v>
      </c>
      <c r="B873" t="s">
        <v>2758</v>
      </c>
      <c r="C873">
        <v>30</v>
      </c>
      <c r="E873" s="3" t="s">
        <v>1754</v>
      </c>
      <c r="F873" s="3">
        <v>45443</v>
      </c>
      <c r="G873" t="s">
        <v>2759</v>
      </c>
      <c r="H873" t="s">
        <v>19</v>
      </c>
      <c r="I873" t="s">
        <v>2760</v>
      </c>
      <c r="J873" t="s">
        <v>39</v>
      </c>
      <c r="K873" t="str">
        <f t="shared" si="78"/>
        <v>Jean Kramer</v>
      </c>
      <c r="L873" t="str">
        <f t="shared" si="79"/>
        <v>Missing</v>
      </c>
      <c r="M873" t="str">
        <f t="shared" si="80"/>
        <v>Donald Clark</v>
      </c>
      <c r="N873" s="4" t="str">
        <f t="shared" si="81"/>
        <v>Orthopedics</v>
      </c>
      <c r="O873" s="6">
        <f t="shared" si="82"/>
        <v>441.92</v>
      </c>
      <c r="P873" s="4" t="str">
        <f t="shared" si="83"/>
        <v>Yes</v>
      </c>
      <c r="Q873" s="4" t="str">
        <f>IF(OR(A873="",C873="",L873="Missing",M873="Missing",O873="0.00",K873="Missing"),"Review","OK")</f>
        <v>Review</v>
      </c>
    </row>
    <row r="874" spans="1:17" x14ac:dyDescent="0.3">
      <c r="A874">
        <v>1077</v>
      </c>
      <c r="B874" t="s">
        <v>2761</v>
      </c>
      <c r="C874">
        <v>78</v>
      </c>
      <c r="D874" t="s">
        <v>23</v>
      </c>
      <c r="E874" s="3">
        <v>45970</v>
      </c>
      <c r="F874" s="3">
        <v>45852</v>
      </c>
      <c r="G874" t="s">
        <v>2762</v>
      </c>
      <c r="H874" t="s">
        <v>19</v>
      </c>
      <c r="I874" t="s">
        <v>2763</v>
      </c>
      <c r="J874" t="s">
        <v>39</v>
      </c>
      <c r="K874" t="str">
        <f t="shared" si="78"/>
        <v>David Rose</v>
      </c>
      <c r="L874" t="str">
        <f t="shared" si="79"/>
        <v>Male</v>
      </c>
      <c r="M874" t="str">
        <f t="shared" si="80"/>
        <v>Dana Ewing</v>
      </c>
      <c r="N874" s="4" t="str">
        <f t="shared" si="81"/>
        <v>Orthopedics</v>
      </c>
      <c r="O874" s="6">
        <f t="shared" si="82"/>
        <v>114.73</v>
      </c>
      <c r="P874" s="4" t="str">
        <f t="shared" si="83"/>
        <v>Yes</v>
      </c>
      <c r="Q874" s="4" t="str">
        <f>IF(OR(A874="",C874="",L874="Missing",M874="Missing",O874="0.00",K874="Missing"),"Review","OK")</f>
        <v>OK</v>
      </c>
    </row>
    <row r="875" spans="1:17" x14ac:dyDescent="0.3">
      <c r="A875">
        <v>1081</v>
      </c>
      <c r="B875" t="s">
        <v>2577</v>
      </c>
      <c r="C875">
        <v>45</v>
      </c>
      <c r="D875" t="s">
        <v>23</v>
      </c>
      <c r="E875" s="3">
        <v>46102</v>
      </c>
      <c r="F875" s="3">
        <v>45416</v>
      </c>
      <c r="G875" t="s">
        <v>2764</v>
      </c>
      <c r="H875" t="s">
        <v>29</v>
      </c>
      <c r="I875" t="s">
        <v>2765</v>
      </c>
      <c r="J875" t="s">
        <v>21</v>
      </c>
      <c r="K875" t="str">
        <f t="shared" si="78"/>
        <v>Christopher Lopez</v>
      </c>
      <c r="L875" t="str">
        <f t="shared" si="79"/>
        <v>Male</v>
      </c>
      <c r="M875" t="str">
        <f t="shared" si="80"/>
        <v>Kevin Pearson</v>
      </c>
      <c r="N875" s="4" t="str">
        <f t="shared" si="81"/>
        <v>General</v>
      </c>
      <c r="O875" s="6">
        <f t="shared" si="82"/>
        <v>405.59</v>
      </c>
      <c r="P875" s="4" t="str">
        <f t="shared" si="83"/>
        <v>Yes</v>
      </c>
      <c r="Q875" s="4" t="str">
        <f>IF(OR(A875="",C875="",L875="Missing",M875="Missing",O875="0.00",K875="Missing"),"Review","OK")</f>
        <v>OK</v>
      </c>
    </row>
    <row r="876" spans="1:17" x14ac:dyDescent="0.3">
      <c r="A876">
        <v>1078</v>
      </c>
      <c r="B876" t="s">
        <v>2766</v>
      </c>
      <c r="C876">
        <v>25</v>
      </c>
      <c r="D876" t="s">
        <v>41</v>
      </c>
      <c r="E876" s="3">
        <v>45977</v>
      </c>
      <c r="F876" s="3" t="s">
        <v>2767</v>
      </c>
      <c r="G876" t="s">
        <v>2768</v>
      </c>
      <c r="H876" t="s">
        <v>13</v>
      </c>
      <c r="I876" t="s">
        <v>2769</v>
      </c>
      <c r="J876" t="s">
        <v>31</v>
      </c>
      <c r="K876" t="str">
        <f t="shared" si="78"/>
        <v>James Gibbs</v>
      </c>
      <c r="L876" t="str">
        <f t="shared" si="79"/>
        <v>Female</v>
      </c>
      <c r="M876" t="str">
        <f t="shared" si="80"/>
        <v>Lisa Norris</v>
      </c>
      <c r="N876" s="4" t="str">
        <f t="shared" si="81"/>
        <v>Cardiology</v>
      </c>
      <c r="O876" s="6">
        <f t="shared" si="82"/>
        <v>368.56</v>
      </c>
      <c r="P876" s="4" t="str">
        <f t="shared" si="83"/>
        <v>No</v>
      </c>
      <c r="Q876" s="4" t="str">
        <f>IF(OR(A876="",C876="",L876="Missing",M876="Missing",O876="0.00",K876="Missing"),"Review","OK")</f>
        <v>OK</v>
      </c>
    </row>
    <row r="877" spans="1:17" x14ac:dyDescent="0.3">
      <c r="A877">
        <v>1054</v>
      </c>
      <c r="B877" t="s">
        <v>2770</v>
      </c>
      <c r="C877">
        <v>50</v>
      </c>
      <c r="D877" t="s">
        <v>41</v>
      </c>
      <c r="E877" s="3">
        <v>45813</v>
      </c>
      <c r="F877" s="3">
        <v>45645</v>
      </c>
      <c r="G877" t="s">
        <v>2771</v>
      </c>
      <c r="H877" t="s">
        <v>29</v>
      </c>
      <c r="I877" t="s">
        <v>2772</v>
      </c>
      <c r="J877" t="s">
        <v>31</v>
      </c>
      <c r="K877" t="str">
        <f t="shared" si="78"/>
        <v>Lori Henderson</v>
      </c>
      <c r="L877" t="str">
        <f t="shared" si="79"/>
        <v>Female</v>
      </c>
      <c r="M877" t="str">
        <f t="shared" si="80"/>
        <v>Terri Stewart</v>
      </c>
      <c r="N877" s="4" t="str">
        <f t="shared" si="81"/>
        <v>General</v>
      </c>
      <c r="O877" s="6">
        <f t="shared" si="82"/>
        <v>496.31</v>
      </c>
      <c r="P877" s="4" t="str">
        <f t="shared" si="83"/>
        <v>No</v>
      </c>
      <c r="Q877" s="4" t="str">
        <f>IF(OR(A877="",C877="",L877="Missing",M877="Missing",O877="0.00",K877="Missing"),"Review","OK")</f>
        <v>OK</v>
      </c>
    </row>
    <row r="878" spans="1:17" x14ac:dyDescent="0.3">
      <c r="A878">
        <v>1085</v>
      </c>
      <c r="B878" t="s">
        <v>2773</v>
      </c>
      <c r="C878">
        <v>85</v>
      </c>
      <c r="D878" t="s">
        <v>76</v>
      </c>
      <c r="E878" s="3">
        <v>46031</v>
      </c>
      <c r="F878" s="3">
        <v>45780</v>
      </c>
      <c r="G878" t="s">
        <v>2774</v>
      </c>
      <c r="H878" t="s">
        <v>13</v>
      </c>
      <c r="I878" t="s">
        <v>2775</v>
      </c>
      <c r="J878" t="s">
        <v>31</v>
      </c>
      <c r="K878" t="str">
        <f t="shared" si="78"/>
        <v>Benjamin Lewis</v>
      </c>
      <c r="L878" t="str">
        <f t="shared" si="79"/>
        <v>Male</v>
      </c>
      <c r="M878" t="str">
        <f t="shared" si="80"/>
        <v>Taylor Hicks</v>
      </c>
      <c r="N878" s="4" t="str">
        <f t="shared" si="81"/>
        <v>Cardiology</v>
      </c>
      <c r="O878" s="6">
        <f t="shared" si="82"/>
        <v>213.17</v>
      </c>
      <c r="P878" s="4" t="str">
        <f t="shared" si="83"/>
        <v>No</v>
      </c>
      <c r="Q878" s="4" t="str">
        <f>IF(OR(A878="",C878="",L878="Missing",M878="Missing",O878="0.00",K878="Missing"),"Review","OK")</f>
        <v>OK</v>
      </c>
    </row>
    <row r="879" spans="1:17" x14ac:dyDescent="0.3">
      <c r="A879">
        <v>1028</v>
      </c>
      <c r="B879" t="s">
        <v>2776</v>
      </c>
      <c r="C879">
        <v>22</v>
      </c>
      <c r="D879">
        <v>1</v>
      </c>
      <c r="E879" s="3" t="s">
        <v>2777</v>
      </c>
      <c r="F879" s="3">
        <v>45875</v>
      </c>
      <c r="G879" t="s">
        <v>2778</v>
      </c>
      <c r="H879" t="s">
        <v>19</v>
      </c>
      <c r="I879" t="s">
        <v>2779</v>
      </c>
      <c r="J879" t="s">
        <v>31</v>
      </c>
      <c r="K879" t="str">
        <f t="shared" si="78"/>
        <v>Matthew Johnson</v>
      </c>
      <c r="L879" t="str">
        <f t="shared" si="79"/>
        <v>Female</v>
      </c>
      <c r="M879" t="str">
        <f t="shared" si="80"/>
        <v>John Moran</v>
      </c>
      <c r="N879" s="4" t="str">
        <f t="shared" si="81"/>
        <v>Orthopedics</v>
      </c>
      <c r="O879" s="6">
        <f t="shared" si="82"/>
        <v>150.15</v>
      </c>
      <c r="P879" s="4" t="str">
        <f t="shared" si="83"/>
        <v>No</v>
      </c>
      <c r="Q879" s="4" t="str">
        <f>IF(OR(A879="",C879="",L879="Missing",M879="Missing",O879="0.00",K879="Missing"),"Review","OK")</f>
        <v>OK</v>
      </c>
    </row>
    <row r="880" spans="1:17" x14ac:dyDescent="0.3">
      <c r="A880">
        <v>1048</v>
      </c>
      <c r="B880" t="s">
        <v>2780</v>
      </c>
      <c r="C880">
        <v>89</v>
      </c>
      <c r="D880">
        <v>0</v>
      </c>
      <c r="E880" s="3" t="s">
        <v>1443</v>
      </c>
      <c r="F880" s="3">
        <v>45455</v>
      </c>
      <c r="G880" t="s">
        <v>2781</v>
      </c>
      <c r="H880" t="s">
        <v>25</v>
      </c>
      <c r="I880" t="s">
        <v>2782</v>
      </c>
      <c r="J880" t="s">
        <v>31</v>
      </c>
      <c r="K880" t="str">
        <f t="shared" si="78"/>
        <v>Karen Myers</v>
      </c>
      <c r="L880" t="str">
        <f t="shared" si="79"/>
        <v>Male</v>
      </c>
      <c r="M880" t="str">
        <f t="shared" si="80"/>
        <v>David Wright</v>
      </c>
      <c r="N880" s="4" t="str">
        <f t="shared" si="81"/>
        <v>Neurology</v>
      </c>
      <c r="O880" s="6">
        <f t="shared" si="82"/>
        <v>371.69</v>
      </c>
      <c r="P880" s="4" t="str">
        <f t="shared" si="83"/>
        <v>No</v>
      </c>
      <c r="Q880" s="4" t="str">
        <f>IF(OR(A880="",C880="",L880="Missing",M880="Missing",O880="0.00",K880="Missing"),"Review","OK")</f>
        <v>OK</v>
      </c>
    </row>
    <row r="881" spans="1:17" x14ac:dyDescent="0.3">
      <c r="A881">
        <v>1008</v>
      </c>
      <c r="B881" t="s">
        <v>2783</v>
      </c>
      <c r="C881">
        <v>34</v>
      </c>
      <c r="D881" t="s">
        <v>41</v>
      </c>
      <c r="E881" s="3">
        <v>45940</v>
      </c>
      <c r="F881" s="3">
        <v>45779</v>
      </c>
      <c r="G881" t="s">
        <v>2784</v>
      </c>
      <c r="H881" t="s">
        <v>25</v>
      </c>
      <c r="I881" t="s">
        <v>2785</v>
      </c>
      <c r="J881">
        <v>0</v>
      </c>
      <c r="K881" t="str">
        <f t="shared" si="78"/>
        <v>Shelly Chavez</v>
      </c>
      <c r="L881" t="str">
        <f t="shared" si="79"/>
        <v>Female</v>
      </c>
      <c r="M881" t="str">
        <f t="shared" si="80"/>
        <v>Megan Morales</v>
      </c>
      <c r="N881" s="4" t="str">
        <f t="shared" si="81"/>
        <v>Neurology</v>
      </c>
      <c r="O881" s="6">
        <f t="shared" si="82"/>
        <v>431.45</v>
      </c>
      <c r="P881" s="4" t="str">
        <f t="shared" si="83"/>
        <v>No</v>
      </c>
      <c r="Q881" s="4" t="str">
        <f>IF(OR(A881="",C881="",L881="Missing",M881="Missing",O881="0.00",K881="Missing"),"Review","OK")</f>
        <v>OK</v>
      </c>
    </row>
    <row r="882" spans="1:17" x14ac:dyDescent="0.3">
      <c r="A882">
        <v>1002</v>
      </c>
      <c r="B882" t="s">
        <v>2786</v>
      </c>
      <c r="C882">
        <v>22</v>
      </c>
      <c r="D882" t="s">
        <v>23</v>
      </c>
      <c r="E882" s="3">
        <v>45886</v>
      </c>
      <c r="F882" s="3">
        <v>45662</v>
      </c>
      <c r="G882" t="s">
        <v>2787</v>
      </c>
      <c r="H882" t="s">
        <v>19</v>
      </c>
      <c r="I882" t="s">
        <v>2788</v>
      </c>
      <c r="J882">
        <v>0</v>
      </c>
      <c r="K882" t="str">
        <f t="shared" si="78"/>
        <v>Maria Williams</v>
      </c>
      <c r="L882" t="str">
        <f t="shared" si="79"/>
        <v>Male</v>
      </c>
      <c r="M882" t="str">
        <f t="shared" si="80"/>
        <v>Brandi Thomas</v>
      </c>
      <c r="N882" s="4" t="str">
        <f t="shared" si="81"/>
        <v>Orthopedics</v>
      </c>
      <c r="O882" s="6">
        <f t="shared" si="82"/>
        <v>189.17</v>
      </c>
      <c r="P882" s="4" t="str">
        <f t="shared" si="83"/>
        <v>No</v>
      </c>
      <c r="Q882" s="4" t="str">
        <f>IF(OR(A882="",C882="",L882="Missing",M882="Missing",O882="0.00",K882="Missing"),"Review","OK")</f>
        <v>OK</v>
      </c>
    </row>
    <row r="883" spans="1:17" x14ac:dyDescent="0.3">
      <c r="A883">
        <v>1013</v>
      </c>
      <c r="B883" t="s">
        <v>2789</v>
      </c>
      <c r="C883">
        <v>24</v>
      </c>
      <c r="E883" s="3">
        <v>45757</v>
      </c>
      <c r="F883" s="3" t="s">
        <v>2790</v>
      </c>
      <c r="G883" t="s">
        <v>2791</v>
      </c>
      <c r="H883" t="s">
        <v>19</v>
      </c>
      <c r="I883" t="s">
        <v>2792</v>
      </c>
      <c r="J883" t="s">
        <v>31</v>
      </c>
      <c r="K883" t="str">
        <f t="shared" si="78"/>
        <v>Robert Humphrey</v>
      </c>
      <c r="L883" t="str">
        <f t="shared" si="79"/>
        <v>Missing</v>
      </c>
      <c r="M883" t="str">
        <f t="shared" si="80"/>
        <v>Vanessa Brown</v>
      </c>
      <c r="N883" s="4" t="str">
        <f t="shared" si="81"/>
        <v>Orthopedics</v>
      </c>
      <c r="O883" s="6">
        <f t="shared" si="82"/>
        <v>281.70999999999998</v>
      </c>
      <c r="P883" s="4" t="str">
        <f t="shared" si="83"/>
        <v>No</v>
      </c>
      <c r="Q883" s="4" t="str">
        <f>IF(OR(A883="",C883="",L883="Missing",M883="Missing",O883="0.00",K883="Missing"),"Review","OK")</f>
        <v>Review</v>
      </c>
    </row>
    <row r="884" spans="1:17" x14ac:dyDescent="0.3">
      <c r="A884">
        <v>1032</v>
      </c>
      <c r="B884" t="s">
        <v>2793</v>
      </c>
      <c r="C884">
        <v>21</v>
      </c>
      <c r="D884" t="s">
        <v>76</v>
      </c>
      <c r="E884" s="3">
        <v>46061</v>
      </c>
      <c r="F884" s="3" t="s">
        <v>827</v>
      </c>
      <c r="G884" t="s">
        <v>2259</v>
      </c>
      <c r="H884" t="s">
        <v>29</v>
      </c>
      <c r="I884" t="s">
        <v>2794</v>
      </c>
      <c r="J884" t="s">
        <v>65</v>
      </c>
      <c r="K884" t="str">
        <f t="shared" si="78"/>
        <v>Matthew Gutierrez</v>
      </c>
      <c r="L884" t="str">
        <f t="shared" si="79"/>
        <v>Male</v>
      </c>
      <c r="M884" t="str">
        <f t="shared" si="80"/>
        <v>Lisa Smith</v>
      </c>
      <c r="N884" s="4" t="str">
        <f t="shared" si="81"/>
        <v>General</v>
      </c>
      <c r="O884" s="6">
        <f t="shared" si="82"/>
        <v>309.31</v>
      </c>
      <c r="P884" s="4" t="str">
        <f t="shared" si="83"/>
        <v>No</v>
      </c>
      <c r="Q884" s="4" t="str">
        <f>IF(OR(A884="",C884="",L884="Missing",M884="Missing",O884="0.00",K884="Missing"),"Review","OK")</f>
        <v>OK</v>
      </c>
    </row>
    <row r="885" spans="1:17" x14ac:dyDescent="0.3">
      <c r="A885">
        <v>1074</v>
      </c>
      <c r="B885" t="s">
        <v>2795</v>
      </c>
      <c r="C885">
        <v>23</v>
      </c>
      <c r="D885" t="s">
        <v>56</v>
      </c>
      <c r="E885" s="3" t="s">
        <v>1702</v>
      </c>
      <c r="F885" s="3">
        <v>45674</v>
      </c>
      <c r="G885" t="s">
        <v>2796</v>
      </c>
      <c r="H885" t="s">
        <v>25</v>
      </c>
      <c r="I885" t="s">
        <v>2797</v>
      </c>
      <c r="J885" t="s">
        <v>39</v>
      </c>
      <c r="K885" t="str">
        <f t="shared" si="78"/>
        <v>Rebecca Banks</v>
      </c>
      <c r="L885" t="str">
        <f t="shared" si="79"/>
        <v>Male</v>
      </c>
      <c r="M885" t="str">
        <f t="shared" si="80"/>
        <v>April Randall Dds</v>
      </c>
      <c r="N885" s="4" t="str">
        <f t="shared" si="81"/>
        <v>Neurology</v>
      </c>
      <c r="O885" s="6">
        <f t="shared" si="82"/>
        <v>57.03</v>
      </c>
      <c r="P885" s="4" t="str">
        <f t="shared" si="83"/>
        <v>Yes</v>
      </c>
      <c r="Q885" s="4" t="str">
        <f>IF(OR(A885="",C885="",L885="Missing",M885="Missing",O885="0.00",K885="Missing"),"Review","OK")</f>
        <v>OK</v>
      </c>
    </row>
    <row r="886" spans="1:17" x14ac:dyDescent="0.3">
      <c r="A886">
        <v>1025</v>
      </c>
      <c r="B886" t="s">
        <v>2798</v>
      </c>
      <c r="C886">
        <v>52</v>
      </c>
      <c r="D886">
        <v>0</v>
      </c>
      <c r="E886" s="3">
        <v>45783</v>
      </c>
      <c r="F886" s="3">
        <v>45602</v>
      </c>
      <c r="G886" t="s">
        <v>2799</v>
      </c>
      <c r="H886" t="s">
        <v>19</v>
      </c>
      <c r="I886" t="s">
        <v>2800</v>
      </c>
      <c r="J886" t="s">
        <v>65</v>
      </c>
      <c r="K886" t="str">
        <f t="shared" si="78"/>
        <v>Ashley Rodriguez</v>
      </c>
      <c r="L886" t="str">
        <f t="shared" si="79"/>
        <v>Male</v>
      </c>
      <c r="M886" t="str">
        <f t="shared" si="80"/>
        <v>Russell Zimmerman</v>
      </c>
      <c r="N886" s="4" t="str">
        <f t="shared" si="81"/>
        <v>Orthopedics</v>
      </c>
      <c r="O886" s="6">
        <f t="shared" si="82"/>
        <v>219.97</v>
      </c>
      <c r="P886" s="4" t="str">
        <f t="shared" si="83"/>
        <v>No</v>
      </c>
      <c r="Q886" s="4" t="str">
        <f>IF(OR(A886="",C886="",L886="Missing",M886="Missing",O886="0.00",K886="Missing"),"Review","OK")</f>
        <v>OK</v>
      </c>
    </row>
    <row r="887" spans="1:17" x14ac:dyDescent="0.3">
      <c r="A887">
        <v>1040</v>
      </c>
      <c r="B887" t="s">
        <v>2801</v>
      </c>
      <c r="C887">
        <v>36</v>
      </c>
      <c r="E887" s="3">
        <v>45804</v>
      </c>
      <c r="F887" s="3">
        <v>45628</v>
      </c>
      <c r="G887" t="s">
        <v>2802</v>
      </c>
      <c r="H887" t="s">
        <v>19</v>
      </c>
      <c r="I887" t="s">
        <v>2803</v>
      </c>
      <c r="J887" t="s">
        <v>31</v>
      </c>
      <c r="K887" t="str">
        <f t="shared" si="78"/>
        <v>Laura Ford</v>
      </c>
      <c r="L887" t="str">
        <f t="shared" si="79"/>
        <v>Missing</v>
      </c>
      <c r="M887" t="str">
        <f t="shared" si="80"/>
        <v>Kyle Evans</v>
      </c>
      <c r="N887" s="4" t="str">
        <f t="shared" si="81"/>
        <v>Orthopedics</v>
      </c>
      <c r="O887" s="6">
        <f t="shared" si="82"/>
        <v>186.51</v>
      </c>
      <c r="P887" s="4" t="str">
        <f t="shared" si="83"/>
        <v>No</v>
      </c>
      <c r="Q887" s="4" t="str">
        <f>IF(OR(A887="",C887="",L887="Missing",M887="Missing",O887="0.00",K887="Missing"),"Review","OK")</f>
        <v>Review</v>
      </c>
    </row>
    <row r="888" spans="1:17" x14ac:dyDescent="0.3">
      <c r="A888">
        <v>1089</v>
      </c>
      <c r="B888" t="s">
        <v>2804</v>
      </c>
      <c r="C888">
        <v>20</v>
      </c>
      <c r="D888">
        <v>1</v>
      </c>
      <c r="E888" s="3">
        <v>45726</v>
      </c>
      <c r="F888" s="3">
        <v>45868</v>
      </c>
      <c r="G888" t="s">
        <v>2805</v>
      </c>
      <c r="H888" t="s">
        <v>25</v>
      </c>
      <c r="I888" t="s">
        <v>2806</v>
      </c>
      <c r="J888">
        <v>0</v>
      </c>
      <c r="K888" t="str">
        <f t="shared" si="78"/>
        <v>James Stout</v>
      </c>
      <c r="L888" t="str">
        <f t="shared" si="79"/>
        <v>Female</v>
      </c>
      <c r="M888" t="str">
        <f t="shared" si="80"/>
        <v>Andrea Myers</v>
      </c>
      <c r="N888" s="4" t="str">
        <f t="shared" si="81"/>
        <v>Neurology</v>
      </c>
      <c r="O888" s="6">
        <f t="shared" si="82"/>
        <v>77.05</v>
      </c>
      <c r="P888" s="4" t="str">
        <f t="shared" si="83"/>
        <v>No</v>
      </c>
      <c r="Q888" s="4" t="str">
        <f>IF(OR(A888="",C888="",L888="Missing",M888="Missing",O888="0.00",K888="Missing"),"Review","OK")</f>
        <v>OK</v>
      </c>
    </row>
    <row r="889" spans="1:17" x14ac:dyDescent="0.3">
      <c r="A889">
        <v>1069</v>
      </c>
      <c r="B889" t="s">
        <v>2807</v>
      </c>
      <c r="C889">
        <v>32</v>
      </c>
      <c r="D889">
        <v>0</v>
      </c>
      <c r="E889" s="3">
        <v>46076</v>
      </c>
      <c r="F889" s="3">
        <v>45671</v>
      </c>
      <c r="G889" t="s">
        <v>2808</v>
      </c>
      <c r="H889" t="s">
        <v>29</v>
      </c>
      <c r="I889" t="s">
        <v>2809</v>
      </c>
      <c r="J889">
        <v>1</v>
      </c>
      <c r="K889" t="str">
        <f t="shared" si="78"/>
        <v>Ashley Foster</v>
      </c>
      <c r="L889" t="str">
        <f t="shared" si="79"/>
        <v>Male</v>
      </c>
      <c r="M889" t="str">
        <f t="shared" si="80"/>
        <v>Melinda Cannon</v>
      </c>
      <c r="N889" s="4" t="str">
        <f t="shared" si="81"/>
        <v>General</v>
      </c>
      <c r="O889" s="6">
        <f t="shared" si="82"/>
        <v>208.72</v>
      </c>
      <c r="P889" s="4" t="str">
        <f t="shared" si="83"/>
        <v>Yes</v>
      </c>
      <c r="Q889" s="4" t="str">
        <f>IF(OR(A889="",C889="",L889="Missing",M889="Missing",O889="0.00",K889="Missing"),"Review","OK")</f>
        <v>OK</v>
      </c>
    </row>
    <row r="890" spans="1:17" x14ac:dyDescent="0.3">
      <c r="A890">
        <v>1070</v>
      </c>
      <c r="B890" t="s">
        <v>2810</v>
      </c>
      <c r="C890">
        <v>38</v>
      </c>
      <c r="D890">
        <v>1</v>
      </c>
      <c r="E890" s="3">
        <v>45844</v>
      </c>
      <c r="F890" s="3">
        <v>45770</v>
      </c>
      <c r="G890" t="s">
        <v>2811</v>
      </c>
      <c r="H890" t="s">
        <v>25</v>
      </c>
      <c r="I890" t="s">
        <v>2812</v>
      </c>
      <c r="J890" t="s">
        <v>21</v>
      </c>
      <c r="K890" t="str">
        <f t="shared" si="78"/>
        <v>Christian Thomas</v>
      </c>
      <c r="L890" t="str">
        <f t="shared" si="79"/>
        <v>Female</v>
      </c>
      <c r="M890" t="str">
        <f t="shared" si="80"/>
        <v>Gregory Tapia</v>
      </c>
      <c r="N890" s="4" t="str">
        <f t="shared" si="81"/>
        <v>Neurology</v>
      </c>
      <c r="O890" s="6">
        <f t="shared" si="82"/>
        <v>390.16</v>
      </c>
      <c r="P890" s="4" t="str">
        <f t="shared" si="83"/>
        <v>Yes</v>
      </c>
      <c r="Q890" s="4" t="str">
        <f>IF(OR(A890="",C890="",L890="Missing",M890="Missing",O890="0.00",K890="Missing"),"Review","OK")</f>
        <v>OK</v>
      </c>
    </row>
    <row r="891" spans="1:17" x14ac:dyDescent="0.3">
      <c r="A891">
        <v>1070</v>
      </c>
      <c r="B891" t="s">
        <v>2813</v>
      </c>
      <c r="C891">
        <v>53</v>
      </c>
      <c r="E891" s="3" t="s">
        <v>361</v>
      </c>
      <c r="F891" s="3">
        <v>45727</v>
      </c>
      <c r="G891" t="s">
        <v>2814</v>
      </c>
      <c r="H891" t="s">
        <v>25</v>
      </c>
      <c r="I891" t="s">
        <v>2815</v>
      </c>
      <c r="J891" t="s">
        <v>39</v>
      </c>
      <c r="K891" t="str">
        <f t="shared" si="78"/>
        <v>Stacy Gardner</v>
      </c>
      <c r="L891" t="str">
        <f t="shared" si="79"/>
        <v>Missing</v>
      </c>
      <c r="M891" t="str">
        <f t="shared" si="80"/>
        <v>Michael Campbell</v>
      </c>
      <c r="N891" s="4" t="str">
        <f t="shared" si="81"/>
        <v>Neurology</v>
      </c>
      <c r="O891" s="6">
        <f t="shared" si="82"/>
        <v>74.78</v>
      </c>
      <c r="P891" s="4" t="str">
        <f t="shared" si="83"/>
        <v>Yes</v>
      </c>
      <c r="Q891" s="4" t="str">
        <f>IF(OR(A891="",C891="",L891="Missing",M891="Missing",O891="0.00",K891="Missing"),"Review","OK")</f>
        <v>Review</v>
      </c>
    </row>
    <row r="892" spans="1:17" x14ac:dyDescent="0.3">
      <c r="A892">
        <v>1077</v>
      </c>
      <c r="B892" t="s">
        <v>2816</v>
      </c>
      <c r="C892">
        <v>58</v>
      </c>
      <c r="D892" t="s">
        <v>16</v>
      </c>
      <c r="E892" s="3" t="s">
        <v>2817</v>
      </c>
      <c r="F892" s="3">
        <v>45954</v>
      </c>
      <c r="G892" t="s">
        <v>2818</v>
      </c>
      <c r="H892" t="s">
        <v>25</v>
      </c>
      <c r="I892" t="s">
        <v>2819</v>
      </c>
      <c r="J892" t="s">
        <v>31</v>
      </c>
      <c r="K892" t="str">
        <f t="shared" si="78"/>
        <v>Taylor Patterson</v>
      </c>
      <c r="L892" t="str">
        <f t="shared" si="79"/>
        <v>Female</v>
      </c>
      <c r="M892" t="str">
        <f t="shared" si="80"/>
        <v>Ellen Miller</v>
      </c>
      <c r="N892" s="4" t="str">
        <f t="shared" si="81"/>
        <v>Neurology</v>
      </c>
      <c r="O892" s="6">
        <f t="shared" si="82"/>
        <v>199.03</v>
      </c>
      <c r="P892" s="4" t="str">
        <f t="shared" si="83"/>
        <v>No</v>
      </c>
      <c r="Q892" s="4" t="str">
        <f>IF(OR(A892="",C892="",L892="Missing",M892="Missing",O892="0.00",K892="Missing"),"Review","OK")</f>
        <v>OK</v>
      </c>
    </row>
    <row r="893" spans="1:17" x14ac:dyDescent="0.3">
      <c r="A893">
        <v>1082</v>
      </c>
      <c r="B893" t="s">
        <v>2820</v>
      </c>
      <c r="C893">
        <v>61</v>
      </c>
      <c r="D893" t="s">
        <v>23</v>
      </c>
      <c r="E893" s="3">
        <v>45966</v>
      </c>
      <c r="F893" s="3">
        <v>45920</v>
      </c>
      <c r="G893" t="s">
        <v>1106</v>
      </c>
      <c r="H893" t="s">
        <v>13</v>
      </c>
      <c r="I893" t="s">
        <v>2821</v>
      </c>
      <c r="J893">
        <v>0</v>
      </c>
      <c r="K893" t="str">
        <f t="shared" si="78"/>
        <v>Justin Zimmerman</v>
      </c>
      <c r="L893" t="str">
        <f t="shared" si="79"/>
        <v>Male</v>
      </c>
      <c r="M893" t="str">
        <f t="shared" si="80"/>
        <v>Tammy Thomas</v>
      </c>
      <c r="N893" s="4" t="str">
        <f t="shared" si="81"/>
        <v>Cardiology</v>
      </c>
      <c r="O893" s="6">
        <f t="shared" si="82"/>
        <v>245.09</v>
      </c>
      <c r="P893" s="4" t="str">
        <f t="shared" si="83"/>
        <v>No</v>
      </c>
      <c r="Q893" s="4" t="str">
        <f>IF(OR(A893="",C893="",L893="Missing",M893="Missing",O893="0.00",K893="Missing"),"Review","OK")</f>
        <v>OK</v>
      </c>
    </row>
    <row r="894" spans="1:17" x14ac:dyDescent="0.3">
      <c r="A894">
        <v>1053</v>
      </c>
      <c r="B894" t="s">
        <v>2822</v>
      </c>
      <c r="C894">
        <v>66</v>
      </c>
      <c r="D894">
        <v>0</v>
      </c>
      <c r="E894" s="3" t="s">
        <v>1429</v>
      </c>
      <c r="F894" s="3" t="s">
        <v>2823</v>
      </c>
      <c r="G894" t="s">
        <v>2824</v>
      </c>
      <c r="H894" t="s">
        <v>19</v>
      </c>
      <c r="I894" t="s">
        <v>2825</v>
      </c>
      <c r="J894">
        <v>0</v>
      </c>
      <c r="K894" t="str">
        <f t="shared" si="78"/>
        <v>Jaclyn Knight</v>
      </c>
      <c r="L894" t="str">
        <f t="shared" si="79"/>
        <v>Male</v>
      </c>
      <c r="M894" t="str">
        <f t="shared" si="80"/>
        <v>John Oliver</v>
      </c>
      <c r="N894" s="4" t="str">
        <f t="shared" si="81"/>
        <v>Orthopedics</v>
      </c>
      <c r="O894" s="6">
        <f t="shared" si="82"/>
        <v>282.02999999999997</v>
      </c>
      <c r="P894" s="4" t="str">
        <f t="shared" si="83"/>
        <v>No</v>
      </c>
      <c r="Q894" s="4" t="str">
        <f>IF(OR(A894="",C894="",L894="Missing",M894="Missing",O894="0.00",K894="Missing"),"Review","OK")</f>
        <v>OK</v>
      </c>
    </row>
    <row r="895" spans="1:17" x14ac:dyDescent="0.3">
      <c r="A895">
        <v>1083</v>
      </c>
      <c r="B895" t="s">
        <v>2826</v>
      </c>
      <c r="C895">
        <v>18</v>
      </c>
      <c r="D895" t="s">
        <v>76</v>
      </c>
      <c r="E895" s="3">
        <v>45768</v>
      </c>
      <c r="F895" s="3">
        <v>45539</v>
      </c>
      <c r="G895" t="s">
        <v>2827</v>
      </c>
      <c r="H895" t="s">
        <v>25</v>
      </c>
      <c r="I895" t="s">
        <v>2828</v>
      </c>
      <c r="J895" t="s">
        <v>39</v>
      </c>
      <c r="K895" t="str">
        <f t="shared" si="78"/>
        <v>Jessica Rodriguez</v>
      </c>
      <c r="L895" t="str">
        <f t="shared" si="79"/>
        <v>Male</v>
      </c>
      <c r="M895" t="str">
        <f t="shared" si="80"/>
        <v>Jeffrey Martin</v>
      </c>
      <c r="N895" s="4" t="str">
        <f t="shared" si="81"/>
        <v>Neurology</v>
      </c>
      <c r="O895" s="6">
        <f t="shared" si="82"/>
        <v>411.85</v>
      </c>
      <c r="P895" s="4" t="str">
        <f t="shared" si="83"/>
        <v>Yes</v>
      </c>
      <c r="Q895" s="4" t="str">
        <f>IF(OR(A895="",C895="",L895="Missing",M895="Missing",O895="0.00",K895="Missing"),"Review","OK")</f>
        <v>OK</v>
      </c>
    </row>
    <row r="896" spans="1:17" x14ac:dyDescent="0.3">
      <c r="A896">
        <v>1096</v>
      </c>
      <c r="B896" t="s">
        <v>2829</v>
      </c>
      <c r="C896">
        <v>70</v>
      </c>
      <c r="D896">
        <v>1</v>
      </c>
      <c r="E896" s="3">
        <v>45820</v>
      </c>
      <c r="F896" s="3">
        <v>45623</v>
      </c>
      <c r="G896" t="s">
        <v>2830</v>
      </c>
      <c r="H896" t="s">
        <v>25</v>
      </c>
      <c r="I896" t="s">
        <v>2831</v>
      </c>
      <c r="J896" t="s">
        <v>39</v>
      </c>
      <c r="K896" t="str">
        <f t="shared" si="78"/>
        <v>Patricia Johnson Dds</v>
      </c>
      <c r="L896" t="str">
        <f t="shared" si="79"/>
        <v>Female</v>
      </c>
      <c r="M896" t="str">
        <f t="shared" si="80"/>
        <v>Ana Hunt</v>
      </c>
      <c r="N896" s="4" t="str">
        <f t="shared" si="81"/>
        <v>Neurology</v>
      </c>
      <c r="O896" s="6">
        <f t="shared" si="82"/>
        <v>144.88999999999999</v>
      </c>
      <c r="P896" s="4" t="str">
        <f t="shared" si="83"/>
        <v>Yes</v>
      </c>
      <c r="Q896" s="4" t="str">
        <f>IF(OR(A896="",C896="",L896="Missing",M896="Missing",O896="0.00",K896="Missing"),"Review","OK")</f>
        <v>OK</v>
      </c>
    </row>
    <row r="897" spans="1:17" x14ac:dyDescent="0.3">
      <c r="A897">
        <v>1043</v>
      </c>
      <c r="B897" t="s">
        <v>2832</v>
      </c>
      <c r="C897">
        <v>31</v>
      </c>
      <c r="D897" t="s">
        <v>56</v>
      </c>
      <c r="E897" s="3">
        <v>45982</v>
      </c>
      <c r="F897" s="3">
        <v>45885</v>
      </c>
      <c r="G897" t="s">
        <v>2833</v>
      </c>
      <c r="H897" t="s">
        <v>25</v>
      </c>
      <c r="I897" t="s">
        <v>2834</v>
      </c>
      <c r="J897" t="s">
        <v>65</v>
      </c>
      <c r="K897" t="str">
        <f t="shared" si="78"/>
        <v>Alexandra Sandoval</v>
      </c>
      <c r="L897" t="str">
        <f t="shared" si="79"/>
        <v>Male</v>
      </c>
      <c r="M897" t="str">
        <f t="shared" si="80"/>
        <v>Rachel Moore</v>
      </c>
      <c r="N897" s="4" t="str">
        <f t="shared" si="81"/>
        <v>Neurology</v>
      </c>
      <c r="O897" s="6">
        <f t="shared" si="82"/>
        <v>198.95</v>
      </c>
      <c r="P897" s="4" t="str">
        <f t="shared" si="83"/>
        <v>No</v>
      </c>
      <c r="Q897" s="4" t="str">
        <f>IF(OR(A897="",C897="",L897="Missing",M897="Missing",O897="0.00",K897="Missing"),"Review","OK")</f>
        <v>OK</v>
      </c>
    </row>
    <row r="898" spans="1:17" x14ac:dyDescent="0.3">
      <c r="A898">
        <v>1058</v>
      </c>
      <c r="B898" t="s">
        <v>2835</v>
      </c>
      <c r="C898">
        <v>64</v>
      </c>
      <c r="D898" t="s">
        <v>76</v>
      </c>
      <c r="E898" s="3">
        <v>45761</v>
      </c>
      <c r="F898" s="3">
        <v>45749</v>
      </c>
      <c r="G898" t="s">
        <v>2836</v>
      </c>
      <c r="H898" t="s">
        <v>25</v>
      </c>
      <c r="I898" t="s">
        <v>2837</v>
      </c>
      <c r="J898">
        <v>1</v>
      </c>
      <c r="K898" t="str">
        <f t="shared" ref="K898:K961" si="84">PROPER(TRIM(CLEAN(B898)))</f>
        <v>Mandy Smith</v>
      </c>
      <c r="L898" t="str">
        <f t="shared" ref="L898:L961" si="85">_xlfn.LET(_xlpm.x,LOWER(TRIM(D898)),
IF(OR(_xlpm.x="f",_xlpm.x="female",_xlpm.x="1"),"Female",
IF(OR(_xlpm.x="m",_xlpm.x="male",_xlpm.x="0"),"Male",
IF(_xlpm.x="","Missing","Review"))))</f>
        <v>Male</v>
      </c>
      <c r="M898" t="str">
        <f t="shared" ref="M898:M961" si="86">PROPER(TRIM(CLEAN(G898)))</f>
        <v>Brian Olson</v>
      </c>
      <c r="N898" s="4" t="str">
        <f t="shared" ref="N898:N961" si="87">PROPER(TRIM(CLEAN(H898)))</f>
        <v>Neurology</v>
      </c>
      <c r="O898" s="6">
        <f t="shared" ref="O898:O961" si="88">_xlfn.LET(_xlpm.x,TRIM(I898),IF(_xlpm.x="","0.00",IFERROR(VALUE(SUBSTITUTE(SUBSTITUTE(SUBSTITUTE(SUBSTITUTE(SUBSTITUTE(SUBSTITUTE(_xlpm.x,"Â£",""),"â‚¬",""),"$",""),"Rs",""),"£",""),"€","")),"0.00")))</f>
        <v>246.05</v>
      </c>
      <c r="P898" s="4" t="str">
        <f t="shared" ref="P898:P961" si="89">_xlfn.LET(_xlpm.x,LOWER(TRIM(J898)),
IF(OR(_xlpm.x="y",_xlpm.x="yes",_xlpm.x="1"),"Yes",
IF(OR(_xlpm.x="n",_xlpm.x="no",_xlpm.x="0"),"No",
IF(_xlpm.x="","Missing","Review"))))</f>
        <v>Yes</v>
      </c>
      <c r="Q898" s="4" t="str">
        <f>IF(OR(A898="",C898="",L898="Missing",M898="Missing",O898="0.00",K898="Missing"),"Review","OK")</f>
        <v>OK</v>
      </c>
    </row>
    <row r="899" spans="1:17" x14ac:dyDescent="0.3">
      <c r="A899">
        <v>1080</v>
      </c>
      <c r="B899" t="s">
        <v>2838</v>
      </c>
      <c r="C899">
        <v>21</v>
      </c>
      <c r="D899" t="s">
        <v>56</v>
      </c>
      <c r="E899" s="3">
        <v>45774</v>
      </c>
      <c r="F899" s="3">
        <v>45729</v>
      </c>
      <c r="G899" t="s">
        <v>2839</v>
      </c>
      <c r="H899" t="s">
        <v>25</v>
      </c>
      <c r="I899" t="s">
        <v>2840</v>
      </c>
      <c r="J899" t="s">
        <v>39</v>
      </c>
      <c r="K899" t="str">
        <f t="shared" si="84"/>
        <v>Danny Cooper</v>
      </c>
      <c r="L899" t="str">
        <f t="shared" si="85"/>
        <v>Male</v>
      </c>
      <c r="M899" t="str">
        <f t="shared" si="86"/>
        <v>Mark Morrison</v>
      </c>
      <c r="N899" s="4" t="str">
        <f t="shared" si="87"/>
        <v>Neurology</v>
      </c>
      <c r="O899" s="6">
        <f t="shared" si="88"/>
        <v>164.43</v>
      </c>
      <c r="P899" s="4" t="str">
        <f t="shared" si="89"/>
        <v>Yes</v>
      </c>
      <c r="Q899" s="4" t="str">
        <f>IF(OR(A899="",C899="",L899="Missing",M899="Missing",O899="0.00",K899="Missing"),"Review","OK")</f>
        <v>OK</v>
      </c>
    </row>
    <row r="900" spans="1:17" x14ac:dyDescent="0.3">
      <c r="A900">
        <v>1097</v>
      </c>
      <c r="B900" t="s">
        <v>2841</v>
      </c>
      <c r="C900">
        <v>51</v>
      </c>
      <c r="D900" t="s">
        <v>11</v>
      </c>
      <c r="E900" s="3">
        <v>45911</v>
      </c>
      <c r="F900" s="3">
        <v>45456</v>
      </c>
      <c r="G900" t="s">
        <v>2842</v>
      </c>
      <c r="H900" t="s">
        <v>29</v>
      </c>
      <c r="I900" t="s">
        <v>2843</v>
      </c>
      <c r="J900" t="s">
        <v>31</v>
      </c>
      <c r="K900" t="str">
        <f t="shared" si="84"/>
        <v>Dr. Christina Dunn</v>
      </c>
      <c r="L900" t="str">
        <f t="shared" si="85"/>
        <v>Female</v>
      </c>
      <c r="M900" t="str">
        <f t="shared" si="86"/>
        <v>Madeline Sharp</v>
      </c>
      <c r="N900" s="4" t="str">
        <f t="shared" si="87"/>
        <v>General</v>
      </c>
      <c r="O900" s="6">
        <f t="shared" si="88"/>
        <v>381.59</v>
      </c>
      <c r="P900" s="4" t="str">
        <f t="shared" si="89"/>
        <v>No</v>
      </c>
      <c r="Q900" s="4" t="str">
        <f>IF(OR(A900="",C900="",L900="Missing",M900="Missing",O900="0.00",K900="Missing"),"Review","OK")</f>
        <v>OK</v>
      </c>
    </row>
    <row r="901" spans="1:17" x14ac:dyDescent="0.3">
      <c r="A901">
        <v>1054</v>
      </c>
      <c r="B901" t="s">
        <v>2844</v>
      </c>
      <c r="C901">
        <v>29</v>
      </c>
      <c r="D901" t="s">
        <v>23</v>
      </c>
      <c r="E901" s="3">
        <v>45794</v>
      </c>
      <c r="F901" s="3">
        <v>45571</v>
      </c>
      <c r="G901" t="s">
        <v>2845</v>
      </c>
      <c r="H901" t="s">
        <v>25</v>
      </c>
      <c r="I901" t="s">
        <v>2846</v>
      </c>
      <c r="J901" t="s">
        <v>65</v>
      </c>
      <c r="K901" t="str">
        <f t="shared" si="84"/>
        <v>Rachel Porter</v>
      </c>
      <c r="L901" t="str">
        <f t="shared" si="85"/>
        <v>Male</v>
      </c>
      <c r="M901" t="str">
        <f t="shared" si="86"/>
        <v>Patrick Russell</v>
      </c>
      <c r="N901" s="4" t="str">
        <f t="shared" si="87"/>
        <v>Neurology</v>
      </c>
      <c r="O901" s="6">
        <f t="shared" si="88"/>
        <v>341.42</v>
      </c>
      <c r="P901" s="4" t="str">
        <f t="shared" si="89"/>
        <v>No</v>
      </c>
      <c r="Q901" s="4" t="str">
        <f>IF(OR(A901="",C901="",L901="Missing",M901="Missing",O901="0.00",K901="Missing"),"Review","OK")</f>
        <v>OK</v>
      </c>
    </row>
    <row r="902" spans="1:17" x14ac:dyDescent="0.3">
      <c r="A902">
        <v>1075</v>
      </c>
      <c r="B902" t="s">
        <v>2847</v>
      </c>
      <c r="C902">
        <v>51</v>
      </c>
      <c r="D902" t="s">
        <v>76</v>
      </c>
      <c r="E902" s="3">
        <v>45973</v>
      </c>
      <c r="F902" s="3" t="s">
        <v>798</v>
      </c>
      <c r="G902" t="s">
        <v>2848</v>
      </c>
      <c r="H902" t="s">
        <v>25</v>
      </c>
      <c r="I902" t="s">
        <v>2849</v>
      </c>
      <c r="J902" t="s">
        <v>31</v>
      </c>
      <c r="K902" t="str">
        <f t="shared" si="84"/>
        <v>Megan Williams</v>
      </c>
      <c r="L902" t="str">
        <f t="shared" si="85"/>
        <v>Male</v>
      </c>
      <c r="M902" t="str">
        <f t="shared" si="86"/>
        <v>Melissa Khan</v>
      </c>
      <c r="N902" s="4" t="str">
        <f t="shared" si="87"/>
        <v>Neurology</v>
      </c>
      <c r="O902" s="6">
        <f t="shared" si="88"/>
        <v>456.12</v>
      </c>
      <c r="P902" s="4" t="str">
        <f t="shared" si="89"/>
        <v>No</v>
      </c>
      <c r="Q902" s="4" t="str">
        <f>IF(OR(A902="",C902="",L902="Missing",M902="Missing",O902="0.00",K902="Missing"),"Review","OK")</f>
        <v>OK</v>
      </c>
    </row>
    <row r="903" spans="1:17" x14ac:dyDescent="0.3">
      <c r="A903">
        <v>1036</v>
      </c>
      <c r="B903" t="s">
        <v>2850</v>
      </c>
      <c r="C903">
        <v>82</v>
      </c>
      <c r="D903" t="s">
        <v>56</v>
      </c>
      <c r="E903" s="3">
        <v>45881</v>
      </c>
      <c r="F903" s="3">
        <v>45389</v>
      </c>
      <c r="G903" t="s">
        <v>2851</v>
      </c>
      <c r="H903" t="s">
        <v>29</v>
      </c>
      <c r="I903" t="s">
        <v>2852</v>
      </c>
      <c r="J903" t="s">
        <v>21</v>
      </c>
      <c r="K903" t="str">
        <f t="shared" si="84"/>
        <v>Michelle Hill</v>
      </c>
      <c r="L903" t="str">
        <f t="shared" si="85"/>
        <v>Male</v>
      </c>
      <c r="M903" t="str">
        <f t="shared" si="86"/>
        <v>Rachel Sanchez</v>
      </c>
      <c r="N903" s="4" t="str">
        <f t="shared" si="87"/>
        <v>General</v>
      </c>
      <c r="O903" s="6">
        <f t="shared" si="88"/>
        <v>371.84</v>
      </c>
      <c r="P903" s="4" t="str">
        <f t="shared" si="89"/>
        <v>Yes</v>
      </c>
      <c r="Q903" s="4" t="str">
        <f>IF(OR(A903="",C903="",L903="Missing",M903="Missing",O903="0.00",K903="Missing"),"Review","OK")</f>
        <v>OK</v>
      </c>
    </row>
    <row r="904" spans="1:17" x14ac:dyDescent="0.3">
      <c r="A904">
        <v>1064</v>
      </c>
      <c r="B904" t="s">
        <v>2853</v>
      </c>
      <c r="C904">
        <v>78</v>
      </c>
      <c r="D904" t="s">
        <v>11</v>
      </c>
      <c r="E904" s="3">
        <v>46036</v>
      </c>
      <c r="F904" s="3">
        <v>45784</v>
      </c>
      <c r="G904" t="s">
        <v>2854</v>
      </c>
      <c r="H904" t="s">
        <v>19</v>
      </c>
      <c r="I904" t="s">
        <v>2855</v>
      </c>
      <c r="J904" t="s">
        <v>31</v>
      </c>
      <c r="K904" t="str">
        <f t="shared" si="84"/>
        <v>Donna Green</v>
      </c>
      <c r="L904" t="str">
        <f t="shared" si="85"/>
        <v>Female</v>
      </c>
      <c r="M904" t="str">
        <f t="shared" si="86"/>
        <v>Clifford Ramirez</v>
      </c>
      <c r="N904" s="4" t="str">
        <f t="shared" si="87"/>
        <v>Orthopedics</v>
      </c>
      <c r="O904" s="6">
        <f t="shared" si="88"/>
        <v>263.23</v>
      </c>
      <c r="P904" s="4" t="str">
        <f t="shared" si="89"/>
        <v>No</v>
      </c>
      <c r="Q904" s="4" t="str">
        <f>IF(OR(A904="",C904="",L904="Missing",M904="Missing",O904="0.00",K904="Missing"),"Review","OK")</f>
        <v>OK</v>
      </c>
    </row>
    <row r="905" spans="1:17" x14ac:dyDescent="0.3">
      <c r="A905">
        <v>1015</v>
      </c>
      <c r="B905" t="s">
        <v>2856</v>
      </c>
      <c r="C905">
        <v>63</v>
      </c>
      <c r="D905">
        <v>1</v>
      </c>
      <c r="E905" s="3">
        <v>45989</v>
      </c>
      <c r="F905" s="3">
        <v>45559</v>
      </c>
      <c r="G905" t="s">
        <v>2857</v>
      </c>
      <c r="H905" t="s">
        <v>25</v>
      </c>
      <c r="I905" t="s">
        <v>2858</v>
      </c>
      <c r="J905" t="s">
        <v>39</v>
      </c>
      <c r="K905" t="str">
        <f t="shared" si="84"/>
        <v>Leon Anderson</v>
      </c>
      <c r="L905" t="str">
        <f t="shared" si="85"/>
        <v>Female</v>
      </c>
      <c r="M905" t="str">
        <f t="shared" si="86"/>
        <v>Mary Chandler</v>
      </c>
      <c r="N905" s="4" t="str">
        <f t="shared" si="87"/>
        <v>Neurology</v>
      </c>
      <c r="O905" s="6">
        <f t="shared" si="88"/>
        <v>427.62</v>
      </c>
      <c r="P905" s="4" t="str">
        <f t="shared" si="89"/>
        <v>Yes</v>
      </c>
      <c r="Q905" s="4" t="str">
        <f>IF(OR(A905="",C905="",L905="Missing",M905="Missing",O905="0.00",K905="Missing"),"Review","OK")</f>
        <v>OK</v>
      </c>
    </row>
    <row r="906" spans="1:17" x14ac:dyDescent="0.3">
      <c r="A906">
        <v>1045</v>
      </c>
      <c r="B906" t="s">
        <v>2859</v>
      </c>
      <c r="C906">
        <v>66</v>
      </c>
      <c r="D906">
        <v>1</v>
      </c>
      <c r="E906" s="3">
        <v>45800</v>
      </c>
      <c r="F906" s="3">
        <v>45411</v>
      </c>
      <c r="G906" t="s">
        <v>2860</v>
      </c>
      <c r="H906" t="s">
        <v>19</v>
      </c>
      <c r="I906" t="s">
        <v>2861</v>
      </c>
      <c r="J906" t="s">
        <v>39</v>
      </c>
      <c r="K906" t="str">
        <f t="shared" si="84"/>
        <v>Cheryl Ruiz</v>
      </c>
      <c r="L906" t="str">
        <f t="shared" si="85"/>
        <v>Female</v>
      </c>
      <c r="M906" t="str">
        <f t="shared" si="86"/>
        <v>Maria Thomas</v>
      </c>
      <c r="N906" s="4" t="str">
        <f t="shared" si="87"/>
        <v>Orthopedics</v>
      </c>
      <c r="O906" s="6">
        <f t="shared" si="88"/>
        <v>100.78</v>
      </c>
      <c r="P906" s="4" t="str">
        <f t="shared" si="89"/>
        <v>Yes</v>
      </c>
      <c r="Q906" s="4" t="str">
        <f>IF(OR(A906="",C906="",L906="Missing",M906="Missing",O906="0.00",K906="Missing"),"Review","OK")</f>
        <v>OK</v>
      </c>
    </row>
    <row r="907" spans="1:17" x14ac:dyDescent="0.3">
      <c r="A907">
        <v>1016</v>
      </c>
      <c r="B907" t="s">
        <v>2862</v>
      </c>
      <c r="C907">
        <v>49</v>
      </c>
      <c r="D907" t="s">
        <v>56</v>
      </c>
      <c r="E907" s="3">
        <v>45916</v>
      </c>
      <c r="F907" s="3">
        <v>45779</v>
      </c>
      <c r="G907" t="s">
        <v>2863</v>
      </c>
      <c r="H907" t="s">
        <v>19</v>
      </c>
      <c r="J907">
        <v>0</v>
      </c>
      <c r="K907" t="str">
        <f t="shared" si="84"/>
        <v>Keith Douglas</v>
      </c>
      <c r="L907" t="str">
        <f t="shared" si="85"/>
        <v>Male</v>
      </c>
      <c r="M907" t="str">
        <f t="shared" si="86"/>
        <v>Dawn Browning</v>
      </c>
      <c r="N907" s="4" t="str">
        <f t="shared" si="87"/>
        <v>Orthopedics</v>
      </c>
      <c r="O907" s="6" t="str">
        <f t="shared" si="88"/>
        <v>0.00</v>
      </c>
      <c r="P907" s="4" t="str">
        <f t="shared" si="89"/>
        <v>No</v>
      </c>
      <c r="Q907" s="4" t="str">
        <f>IF(OR(A907="",C907="",L907="Missing",M907="Missing",O907="0.00",K907="Missing"),"Review","OK")</f>
        <v>Review</v>
      </c>
    </row>
    <row r="908" spans="1:17" x14ac:dyDescent="0.3">
      <c r="A908">
        <v>1006</v>
      </c>
      <c r="B908" t="s">
        <v>2864</v>
      </c>
      <c r="C908">
        <v>61</v>
      </c>
      <c r="D908" t="s">
        <v>23</v>
      </c>
      <c r="E908" s="3">
        <v>45975</v>
      </c>
      <c r="F908" s="3">
        <v>45422</v>
      </c>
      <c r="G908" t="s">
        <v>2865</v>
      </c>
      <c r="H908" t="s">
        <v>19</v>
      </c>
      <c r="I908" t="s">
        <v>2866</v>
      </c>
      <c r="J908" t="s">
        <v>65</v>
      </c>
      <c r="K908" t="str">
        <f t="shared" si="84"/>
        <v>Christina Spencer</v>
      </c>
      <c r="L908" t="str">
        <f t="shared" si="85"/>
        <v>Male</v>
      </c>
      <c r="M908" t="str">
        <f t="shared" si="86"/>
        <v>Mark Kelley</v>
      </c>
      <c r="N908" s="4" t="str">
        <f t="shared" si="87"/>
        <v>Orthopedics</v>
      </c>
      <c r="O908" s="6">
        <f t="shared" si="88"/>
        <v>308.27999999999997</v>
      </c>
      <c r="P908" s="4" t="str">
        <f t="shared" si="89"/>
        <v>No</v>
      </c>
      <c r="Q908" s="4" t="str">
        <f>IF(OR(A908="",C908="",L908="Missing",M908="Missing",O908="0.00",K908="Missing"),"Review","OK")</f>
        <v>OK</v>
      </c>
    </row>
    <row r="909" spans="1:17" x14ac:dyDescent="0.3">
      <c r="A909">
        <v>1058</v>
      </c>
      <c r="B909" t="s">
        <v>2867</v>
      </c>
      <c r="C909">
        <v>30</v>
      </c>
      <c r="D909" t="s">
        <v>16</v>
      </c>
      <c r="E909" s="3">
        <v>46079</v>
      </c>
      <c r="F909" s="3">
        <v>46060</v>
      </c>
      <c r="G909" t="s">
        <v>2868</v>
      </c>
      <c r="H909" t="s">
        <v>29</v>
      </c>
      <c r="I909" t="s">
        <v>2869</v>
      </c>
      <c r="J909">
        <v>0</v>
      </c>
      <c r="K909" t="str">
        <f t="shared" si="84"/>
        <v>April Rios</v>
      </c>
      <c r="L909" t="str">
        <f t="shared" si="85"/>
        <v>Female</v>
      </c>
      <c r="M909" t="str">
        <f t="shared" si="86"/>
        <v>Megan Mccann</v>
      </c>
      <c r="N909" s="4" t="str">
        <f t="shared" si="87"/>
        <v>General</v>
      </c>
      <c r="O909" s="6">
        <f t="shared" si="88"/>
        <v>471.3</v>
      </c>
      <c r="P909" s="4" t="str">
        <f t="shared" si="89"/>
        <v>No</v>
      </c>
      <c r="Q909" s="4" t="str">
        <f>IF(OR(A909="",C909="",L909="Missing",M909="Missing",O909="0.00",K909="Missing"),"Review","OK")</f>
        <v>OK</v>
      </c>
    </row>
    <row r="910" spans="1:17" x14ac:dyDescent="0.3">
      <c r="A910">
        <v>1050</v>
      </c>
      <c r="B910" t="s">
        <v>2870</v>
      </c>
      <c r="C910">
        <v>23</v>
      </c>
      <c r="D910">
        <v>1</v>
      </c>
      <c r="E910" s="3" t="s">
        <v>2871</v>
      </c>
      <c r="F910" s="3">
        <v>45830</v>
      </c>
      <c r="G910" t="s">
        <v>2872</v>
      </c>
      <c r="H910" t="s">
        <v>13</v>
      </c>
      <c r="I910" t="s">
        <v>2873</v>
      </c>
      <c r="J910">
        <v>1</v>
      </c>
      <c r="K910" t="str">
        <f t="shared" si="84"/>
        <v>Mallory Martin</v>
      </c>
      <c r="L910" t="str">
        <f t="shared" si="85"/>
        <v>Female</v>
      </c>
      <c r="M910" t="str">
        <f t="shared" si="86"/>
        <v>David Whitney</v>
      </c>
      <c r="N910" s="4" t="str">
        <f t="shared" si="87"/>
        <v>Cardiology</v>
      </c>
      <c r="O910" s="6">
        <f t="shared" si="88"/>
        <v>437.95</v>
      </c>
      <c r="P910" s="4" t="str">
        <f t="shared" si="89"/>
        <v>Yes</v>
      </c>
      <c r="Q910" s="4" t="str">
        <f>IF(OR(A910="",C910="",L910="Missing",M910="Missing",O910="0.00",K910="Missing"),"Review","OK")</f>
        <v>OK</v>
      </c>
    </row>
    <row r="911" spans="1:17" x14ac:dyDescent="0.3">
      <c r="A911">
        <v>1016</v>
      </c>
      <c r="B911" t="s">
        <v>2874</v>
      </c>
      <c r="C911">
        <v>87</v>
      </c>
      <c r="D911" t="s">
        <v>11</v>
      </c>
      <c r="E911" s="3">
        <v>46046</v>
      </c>
      <c r="F911" s="3">
        <v>45635</v>
      </c>
      <c r="G911" t="s">
        <v>2875</v>
      </c>
      <c r="H911" t="s">
        <v>29</v>
      </c>
      <c r="I911" t="s">
        <v>2876</v>
      </c>
      <c r="J911" t="s">
        <v>21</v>
      </c>
      <c r="K911" t="str">
        <f t="shared" si="84"/>
        <v>Elizabeth Johnson</v>
      </c>
      <c r="L911" t="str">
        <f t="shared" si="85"/>
        <v>Female</v>
      </c>
      <c r="M911" t="str">
        <f t="shared" si="86"/>
        <v>Dr. Mary Day</v>
      </c>
      <c r="N911" s="4" t="str">
        <f t="shared" si="87"/>
        <v>General</v>
      </c>
      <c r="O911" s="6">
        <f t="shared" si="88"/>
        <v>461.32</v>
      </c>
      <c r="P911" s="4" t="str">
        <f t="shared" si="89"/>
        <v>Yes</v>
      </c>
      <c r="Q911" s="4" t="str">
        <f>IF(OR(A911="",C911="",L911="Missing",M911="Missing",O911="0.00",K911="Missing"),"Review","OK")</f>
        <v>OK</v>
      </c>
    </row>
    <row r="912" spans="1:17" x14ac:dyDescent="0.3">
      <c r="A912">
        <v>1014</v>
      </c>
      <c r="B912" t="s">
        <v>2877</v>
      </c>
      <c r="C912">
        <v>31</v>
      </c>
      <c r="D912">
        <v>0</v>
      </c>
      <c r="E912" s="3">
        <v>45899</v>
      </c>
      <c r="F912" s="3">
        <v>45674</v>
      </c>
      <c r="G912" t="s">
        <v>2878</v>
      </c>
      <c r="H912" t="s">
        <v>29</v>
      </c>
      <c r="I912" t="s">
        <v>2879</v>
      </c>
      <c r="J912" t="s">
        <v>21</v>
      </c>
      <c r="K912" t="str">
        <f t="shared" si="84"/>
        <v>Ellen Rogers</v>
      </c>
      <c r="L912" t="str">
        <f t="shared" si="85"/>
        <v>Male</v>
      </c>
      <c r="M912" t="str">
        <f t="shared" si="86"/>
        <v>Tammie Melendez</v>
      </c>
      <c r="N912" s="4" t="str">
        <f t="shared" si="87"/>
        <v>General</v>
      </c>
      <c r="O912" s="6">
        <f t="shared" si="88"/>
        <v>424.17</v>
      </c>
      <c r="P912" s="4" t="str">
        <f t="shared" si="89"/>
        <v>Yes</v>
      </c>
      <c r="Q912" s="4" t="str">
        <f>IF(OR(A912="",C912="",L912="Missing",M912="Missing",O912="0.00",K912="Missing"),"Review","OK")</f>
        <v>OK</v>
      </c>
    </row>
    <row r="913" spans="1:17" x14ac:dyDescent="0.3">
      <c r="A913">
        <v>1070</v>
      </c>
      <c r="B913" t="s">
        <v>2880</v>
      </c>
      <c r="C913">
        <v>49</v>
      </c>
      <c r="D913">
        <v>0</v>
      </c>
      <c r="E913" s="3">
        <v>45797</v>
      </c>
      <c r="F913" s="3">
        <v>45547</v>
      </c>
      <c r="G913" t="s">
        <v>2881</v>
      </c>
      <c r="H913" t="s">
        <v>29</v>
      </c>
      <c r="I913" t="s">
        <v>2882</v>
      </c>
      <c r="J913" t="s">
        <v>39</v>
      </c>
      <c r="K913" t="str">
        <f t="shared" si="84"/>
        <v>Kenneth Jenkins</v>
      </c>
      <c r="L913" t="str">
        <f t="shared" si="85"/>
        <v>Male</v>
      </c>
      <c r="M913" t="str">
        <f t="shared" si="86"/>
        <v>Tanya Eaton</v>
      </c>
      <c r="N913" s="4" t="str">
        <f t="shared" si="87"/>
        <v>General</v>
      </c>
      <c r="O913" s="6">
        <f t="shared" si="88"/>
        <v>428.7</v>
      </c>
      <c r="P913" s="4" t="str">
        <f t="shared" si="89"/>
        <v>Yes</v>
      </c>
      <c r="Q913" s="4" t="str">
        <f>IF(OR(A913="",C913="",L913="Missing",M913="Missing",O913="0.00",K913="Missing"),"Review","OK")</f>
        <v>OK</v>
      </c>
    </row>
    <row r="914" spans="1:17" x14ac:dyDescent="0.3">
      <c r="A914">
        <v>1068</v>
      </c>
      <c r="B914" t="s">
        <v>2883</v>
      </c>
      <c r="C914">
        <v>52</v>
      </c>
      <c r="D914" t="s">
        <v>41</v>
      </c>
      <c r="E914" s="3">
        <v>46034</v>
      </c>
      <c r="F914" s="3">
        <v>45513</v>
      </c>
      <c r="G914" t="s">
        <v>2884</v>
      </c>
      <c r="H914" t="s">
        <v>25</v>
      </c>
      <c r="I914" t="s">
        <v>2885</v>
      </c>
      <c r="J914">
        <v>0</v>
      </c>
      <c r="K914" t="str">
        <f t="shared" si="84"/>
        <v>Duane Mitchell</v>
      </c>
      <c r="L914" t="str">
        <f t="shared" si="85"/>
        <v>Female</v>
      </c>
      <c r="M914" t="str">
        <f t="shared" si="86"/>
        <v>Helen Jackson</v>
      </c>
      <c r="N914" s="4" t="str">
        <f t="shared" si="87"/>
        <v>Neurology</v>
      </c>
      <c r="O914" s="6">
        <f t="shared" si="88"/>
        <v>159.11000000000001</v>
      </c>
      <c r="P914" s="4" t="str">
        <f t="shared" si="89"/>
        <v>No</v>
      </c>
      <c r="Q914" s="4" t="str">
        <f>IF(OR(A914="",C914="",L914="Missing",M914="Missing",O914="0.00",K914="Missing"),"Review","OK")</f>
        <v>OK</v>
      </c>
    </row>
    <row r="915" spans="1:17" x14ac:dyDescent="0.3">
      <c r="A915">
        <v>1088</v>
      </c>
      <c r="B915" t="s">
        <v>2886</v>
      </c>
      <c r="C915">
        <v>65</v>
      </c>
      <c r="D915" t="s">
        <v>23</v>
      </c>
      <c r="E915" s="3">
        <v>45861</v>
      </c>
      <c r="F915" s="3">
        <v>45692</v>
      </c>
      <c r="G915" t="s">
        <v>2887</v>
      </c>
      <c r="H915" t="s">
        <v>25</v>
      </c>
      <c r="I915" t="s">
        <v>2888</v>
      </c>
      <c r="J915" t="s">
        <v>21</v>
      </c>
      <c r="K915" t="str">
        <f t="shared" si="84"/>
        <v>Mr. Paul Chavez</v>
      </c>
      <c r="L915" t="str">
        <f t="shared" si="85"/>
        <v>Male</v>
      </c>
      <c r="M915" t="str">
        <f t="shared" si="86"/>
        <v>Evan Marquez</v>
      </c>
      <c r="N915" s="4" t="str">
        <f t="shared" si="87"/>
        <v>Neurology</v>
      </c>
      <c r="O915" s="6">
        <f t="shared" si="88"/>
        <v>159.06</v>
      </c>
      <c r="P915" s="4" t="str">
        <f t="shared" si="89"/>
        <v>Yes</v>
      </c>
      <c r="Q915" s="4" t="str">
        <f>IF(OR(A915="",C915="",L915="Missing",M915="Missing",O915="0.00",K915="Missing"),"Review","OK")</f>
        <v>OK</v>
      </c>
    </row>
    <row r="916" spans="1:17" x14ac:dyDescent="0.3">
      <c r="A916">
        <v>1012</v>
      </c>
      <c r="B916" t="s">
        <v>2889</v>
      </c>
      <c r="C916">
        <v>18</v>
      </c>
      <c r="D916" t="s">
        <v>16</v>
      </c>
      <c r="E916" s="3">
        <v>46041</v>
      </c>
      <c r="F916" s="3">
        <v>45663</v>
      </c>
      <c r="G916" t="s">
        <v>2890</v>
      </c>
      <c r="H916" t="s">
        <v>25</v>
      </c>
      <c r="I916" t="s">
        <v>2891</v>
      </c>
      <c r="J916" t="s">
        <v>39</v>
      </c>
      <c r="K916" t="str">
        <f t="shared" si="84"/>
        <v>Ian Weaver</v>
      </c>
      <c r="L916" t="str">
        <f t="shared" si="85"/>
        <v>Female</v>
      </c>
      <c r="M916" t="str">
        <f t="shared" si="86"/>
        <v>Audrey Torres</v>
      </c>
      <c r="N916" s="4" t="str">
        <f t="shared" si="87"/>
        <v>Neurology</v>
      </c>
      <c r="O916" s="6">
        <f t="shared" si="88"/>
        <v>317.16000000000003</v>
      </c>
      <c r="P916" s="4" t="str">
        <f t="shared" si="89"/>
        <v>Yes</v>
      </c>
      <c r="Q916" s="4" t="str">
        <f>IF(OR(A916="",C916="",L916="Missing",M916="Missing",O916="0.00",K916="Missing"),"Review","OK")</f>
        <v>OK</v>
      </c>
    </row>
    <row r="917" spans="1:17" x14ac:dyDescent="0.3">
      <c r="A917">
        <v>1066</v>
      </c>
      <c r="B917" t="s">
        <v>2163</v>
      </c>
      <c r="C917">
        <v>37</v>
      </c>
      <c r="D917" t="s">
        <v>41</v>
      </c>
      <c r="E917" s="3">
        <v>45802</v>
      </c>
      <c r="F917" s="3">
        <v>45577</v>
      </c>
      <c r="G917" t="s">
        <v>2892</v>
      </c>
      <c r="H917" t="s">
        <v>29</v>
      </c>
      <c r="I917" t="s">
        <v>2893</v>
      </c>
      <c r="J917" t="s">
        <v>21</v>
      </c>
      <c r="K917" t="str">
        <f t="shared" si="84"/>
        <v>Daniel White</v>
      </c>
      <c r="L917" t="str">
        <f t="shared" si="85"/>
        <v>Female</v>
      </c>
      <c r="M917" t="str">
        <f t="shared" si="86"/>
        <v>Justin Hall</v>
      </c>
      <c r="N917" s="4" t="str">
        <f t="shared" si="87"/>
        <v>General</v>
      </c>
      <c r="O917" s="6">
        <f t="shared" si="88"/>
        <v>470.63</v>
      </c>
      <c r="P917" s="4" t="str">
        <f t="shared" si="89"/>
        <v>Yes</v>
      </c>
      <c r="Q917" s="4" t="str">
        <f>IF(OR(A917="",C917="",L917="Missing",M917="Missing",O917="0.00",K917="Missing"),"Review","OK")</f>
        <v>OK</v>
      </c>
    </row>
    <row r="918" spans="1:17" x14ac:dyDescent="0.3">
      <c r="A918">
        <v>1071</v>
      </c>
      <c r="B918" t="s">
        <v>2894</v>
      </c>
      <c r="C918">
        <v>74</v>
      </c>
      <c r="D918" t="s">
        <v>23</v>
      </c>
      <c r="E918" s="3">
        <v>45892</v>
      </c>
      <c r="F918" s="3">
        <v>45559</v>
      </c>
      <c r="G918" t="s">
        <v>2895</v>
      </c>
      <c r="H918" t="s">
        <v>13</v>
      </c>
      <c r="I918" t="s">
        <v>2896</v>
      </c>
      <c r="J918" t="s">
        <v>65</v>
      </c>
      <c r="K918" t="str">
        <f t="shared" si="84"/>
        <v>Brian Riley</v>
      </c>
      <c r="L918" t="str">
        <f t="shared" si="85"/>
        <v>Male</v>
      </c>
      <c r="M918" t="str">
        <f t="shared" si="86"/>
        <v>Charles Kemp</v>
      </c>
      <c r="N918" s="4" t="str">
        <f t="shared" si="87"/>
        <v>Cardiology</v>
      </c>
      <c r="O918" s="6">
        <f t="shared" si="88"/>
        <v>153.44</v>
      </c>
      <c r="P918" s="4" t="str">
        <f t="shared" si="89"/>
        <v>No</v>
      </c>
      <c r="Q918" s="4" t="str">
        <f>IF(OR(A918="",C918="",L918="Missing",M918="Missing",O918="0.00",K918="Missing"),"Review","OK")</f>
        <v>OK</v>
      </c>
    </row>
    <row r="919" spans="1:17" x14ac:dyDescent="0.3">
      <c r="A919">
        <v>1094</v>
      </c>
      <c r="B919" t="s">
        <v>2897</v>
      </c>
      <c r="C919">
        <v>60</v>
      </c>
      <c r="E919" s="3" t="s">
        <v>756</v>
      </c>
      <c r="F919" s="3">
        <v>45434</v>
      </c>
      <c r="G919" t="s">
        <v>2898</v>
      </c>
      <c r="H919" t="s">
        <v>29</v>
      </c>
      <c r="I919" t="s">
        <v>2899</v>
      </c>
      <c r="J919">
        <v>0</v>
      </c>
      <c r="K919" t="str">
        <f t="shared" si="84"/>
        <v>Joshua Wallace</v>
      </c>
      <c r="L919" t="str">
        <f t="shared" si="85"/>
        <v>Missing</v>
      </c>
      <c r="M919" t="str">
        <f t="shared" si="86"/>
        <v>Melissa Price</v>
      </c>
      <c r="N919" s="4" t="str">
        <f t="shared" si="87"/>
        <v>General</v>
      </c>
      <c r="O919" s="6">
        <f t="shared" si="88"/>
        <v>416.08</v>
      </c>
      <c r="P919" s="4" t="str">
        <f t="shared" si="89"/>
        <v>No</v>
      </c>
      <c r="Q919" s="4" t="str">
        <f>IF(OR(A919="",C919="",L919="Missing",M919="Missing",O919="0.00",K919="Missing"),"Review","OK")</f>
        <v>Review</v>
      </c>
    </row>
    <row r="920" spans="1:17" x14ac:dyDescent="0.3">
      <c r="A920">
        <v>1075</v>
      </c>
      <c r="B920" t="s">
        <v>2900</v>
      </c>
      <c r="C920">
        <v>43</v>
      </c>
      <c r="D920">
        <v>1</v>
      </c>
      <c r="E920" s="3" t="s">
        <v>2901</v>
      </c>
      <c r="F920" s="3">
        <v>45716</v>
      </c>
      <c r="G920" t="s">
        <v>2902</v>
      </c>
      <c r="H920" t="s">
        <v>25</v>
      </c>
      <c r="I920" t="s">
        <v>2903</v>
      </c>
      <c r="J920" t="s">
        <v>39</v>
      </c>
      <c r="K920" t="str">
        <f t="shared" si="84"/>
        <v>Amy Cruz</v>
      </c>
      <c r="L920" t="str">
        <f t="shared" si="85"/>
        <v>Female</v>
      </c>
      <c r="M920" t="str">
        <f t="shared" si="86"/>
        <v>Tony Burke</v>
      </c>
      <c r="N920" s="4" t="str">
        <f t="shared" si="87"/>
        <v>Neurology</v>
      </c>
      <c r="O920" s="6">
        <f t="shared" si="88"/>
        <v>458.79</v>
      </c>
      <c r="P920" s="4" t="str">
        <f t="shared" si="89"/>
        <v>Yes</v>
      </c>
      <c r="Q920" s="4" t="str">
        <f>IF(OR(A920="",C920="",L920="Missing",M920="Missing",O920="0.00",K920="Missing"),"Review","OK")</f>
        <v>OK</v>
      </c>
    </row>
    <row r="921" spans="1:17" x14ac:dyDescent="0.3">
      <c r="A921">
        <v>1077</v>
      </c>
      <c r="B921" t="s">
        <v>2904</v>
      </c>
      <c r="C921">
        <v>30</v>
      </c>
      <c r="D921" t="s">
        <v>56</v>
      </c>
      <c r="E921" s="3">
        <v>45806</v>
      </c>
      <c r="F921" s="3" t="s">
        <v>2905</v>
      </c>
      <c r="G921" t="s">
        <v>2906</v>
      </c>
      <c r="H921" t="s">
        <v>19</v>
      </c>
      <c r="I921" t="s">
        <v>2907</v>
      </c>
      <c r="J921">
        <v>0</v>
      </c>
      <c r="K921" t="str">
        <f t="shared" si="84"/>
        <v>Carly Dixon</v>
      </c>
      <c r="L921" t="str">
        <f t="shared" si="85"/>
        <v>Male</v>
      </c>
      <c r="M921" t="str">
        <f t="shared" si="86"/>
        <v>Gary Murray</v>
      </c>
      <c r="N921" s="4" t="str">
        <f t="shared" si="87"/>
        <v>Orthopedics</v>
      </c>
      <c r="O921" s="6">
        <f t="shared" si="88"/>
        <v>125.8</v>
      </c>
      <c r="P921" s="4" t="str">
        <f t="shared" si="89"/>
        <v>No</v>
      </c>
      <c r="Q921" s="4" t="str">
        <f>IF(OR(A921="",C921="",L921="Missing",M921="Missing",O921="0.00",K921="Missing"),"Review","OK")</f>
        <v>OK</v>
      </c>
    </row>
    <row r="922" spans="1:17" x14ac:dyDescent="0.3">
      <c r="A922">
        <v>1044</v>
      </c>
      <c r="B922" t="s">
        <v>2908</v>
      </c>
      <c r="C922">
        <v>43</v>
      </c>
      <c r="D922" t="s">
        <v>56</v>
      </c>
      <c r="E922" s="3">
        <v>45749</v>
      </c>
      <c r="F922" s="3">
        <v>45481</v>
      </c>
      <c r="G922" t="s">
        <v>2909</v>
      </c>
      <c r="H922" t="s">
        <v>29</v>
      </c>
      <c r="I922" t="s">
        <v>2910</v>
      </c>
      <c r="J922">
        <v>0</v>
      </c>
      <c r="K922" t="str">
        <f t="shared" si="84"/>
        <v>Pamela Bradshaw</v>
      </c>
      <c r="L922" t="str">
        <f t="shared" si="85"/>
        <v>Male</v>
      </c>
      <c r="M922" t="str">
        <f t="shared" si="86"/>
        <v>Donald Mitchell</v>
      </c>
      <c r="N922" s="4" t="str">
        <f t="shared" si="87"/>
        <v>General</v>
      </c>
      <c r="O922" s="6">
        <f t="shared" si="88"/>
        <v>352.94</v>
      </c>
      <c r="P922" s="4" t="str">
        <f t="shared" si="89"/>
        <v>No</v>
      </c>
      <c r="Q922" s="4" t="str">
        <f>IF(OR(A922="",C922="",L922="Missing",M922="Missing",O922="0.00",K922="Missing"),"Review","OK")</f>
        <v>OK</v>
      </c>
    </row>
    <row r="923" spans="1:17" x14ac:dyDescent="0.3">
      <c r="A923">
        <v>1084</v>
      </c>
      <c r="B923" t="s">
        <v>2911</v>
      </c>
      <c r="C923">
        <v>68</v>
      </c>
      <c r="D923" t="s">
        <v>76</v>
      </c>
      <c r="E923" s="3">
        <v>45860</v>
      </c>
      <c r="F923" s="3">
        <v>45836</v>
      </c>
      <c r="G923" t="s">
        <v>2912</v>
      </c>
      <c r="H923" t="s">
        <v>29</v>
      </c>
      <c r="I923" t="s">
        <v>2913</v>
      </c>
      <c r="J923">
        <v>0</v>
      </c>
      <c r="K923" t="str">
        <f t="shared" si="84"/>
        <v>Rebecca Hall</v>
      </c>
      <c r="L923" t="str">
        <f t="shared" si="85"/>
        <v>Male</v>
      </c>
      <c r="M923" t="str">
        <f t="shared" si="86"/>
        <v>Kevin Mendoza Dvm</v>
      </c>
      <c r="N923" s="4" t="str">
        <f t="shared" si="87"/>
        <v>General</v>
      </c>
      <c r="O923" s="6">
        <f t="shared" si="88"/>
        <v>111.4</v>
      </c>
      <c r="P923" s="4" t="str">
        <f t="shared" si="89"/>
        <v>No</v>
      </c>
      <c r="Q923" s="4" t="str">
        <f>IF(OR(A923="",C923="",L923="Missing",M923="Missing",O923="0.00",K923="Missing"),"Review","OK")</f>
        <v>OK</v>
      </c>
    </row>
    <row r="924" spans="1:17" x14ac:dyDescent="0.3">
      <c r="A924">
        <v>1060</v>
      </c>
      <c r="B924" t="s">
        <v>2914</v>
      </c>
      <c r="C924">
        <v>85</v>
      </c>
      <c r="D924" t="s">
        <v>11</v>
      </c>
      <c r="E924" s="3">
        <v>45919</v>
      </c>
      <c r="F924" s="3">
        <v>45916</v>
      </c>
      <c r="G924" t="s">
        <v>2915</v>
      </c>
      <c r="H924" t="s">
        <v>13</v>
      </c>
      <c r="I924" t="s">
        <v>2916</v>
      </c>
      <c r="J924" t="s">
        <v>21</v>
      </c>
      <c r="K924" t="str">
        <f t="shared" si="84"/>
        <v>James Lopez</v>
      </c>
      <c r="L924" t="str">
        <f t="shared" si="85"/>
        <v>Female</v>
      </c>
      <c r="M924" t="str">
        <f t="shared" si="86"/>
        <v>Carla Cole</v>
      </c>
      <c r="N924" s="4" t="str">
        <f t="shared" si="87"/>
        <v>Cardiology</v>
      </c>
      <c r="O924" s="6">
        <f t="shared" si="88"/>
        <v>161.54</v>
      </c>
      <c r="P924" s="4" t="str">
        <f t="shared" si="89"/>
        <v>Yes</v>
      </c>
      <c r="Q924" s="4" t="str">
        <f>IF(OR(A924="",C924="",L924="Missing",M924="Missing",O924="0.00",K924="Missing"),"Review","OK")</f>
        <v>OK</v>
      </c>
    </row>
    <row r="925" spans="1:17" x14ac:dyDescent="0.3">
      <c r="A925">
        <v>1055</v>
      </c>
      <c r="B925" t="s">
        <v>2917</v>
      </c>
      <c r="C925">
        <v>69</v>
      </c>
      <c r="D925" t="s">
        <v>76</v>
      </c>
      <c r="E925" s="3">
        <v>45747</v>
      </c>
      <c r="F925" s="3">
        <v>45423</v>
      </c>
      <c r="G925" t="s">
        <v>2918</v>
      </c>
      <c r="H925" t="s">
        <v>19</v>
      </c>
      <c r="I925" t="s">
        <v>2919</v>
      </c>
      <c r="J925" t="s">
        <v>39</v>
      </c>
      <c r="K925" t="str">
        <f t="shared" si="84"/>
        <v>Christopher Powell</v>
      </c>
      <c r="L925" t="str">
        <f t="shared" si="85"/>
        <v>Male</v>
      </c>
      <c r="M925" t="str">
        <f t="shared" si="86"/>
        <v>Gary Wood</v>
      </c>
      <c r="N925" s="4" t="str">
        <f t="shared" si="87"/>
        <v>Orthopedics</v>
      </c>
      <c r="O925" s="6">
        <f t="shared" si="88"/>
        <v>479.37</v>
      </c>
      <c r="P925" s="4" t="str">
        <f t="shared" si="89"/>
        <v>Yes</v>
      </c>
      <c r="Q925" s="4" t="str">
        <f>IF(OR(A925="",C925="",L925="Missing",M925="Missing",O925="0.00",K925="Missing"),"Review","OK")</f>
        <v>OK</v>
      </c>
    </row>
    <row r="926" spans="1:17" x14ac:dyDescent="0.3">
      <c r="A926">
        <v>1046</v>
      </c>
      <c r="B926" t="s">
        <v>2920</v>
      </c>
      <c r="C926">
        <v>29</v>
      </c>
      <c r="D926">
        <v>1</v>
      </c>
      <c r="E926" s="3">
        <v>45754</v>
      </c>
      <c r="F926" s="3">
        <v>45445</v>
      </c>
      <c r="G926" t="s">
        <v>2921</v>
      </c>
      <c r="H926" t="s">
        <v>13</v>
      </c>
      <c r="I926" t="s">
        <v>2922</v>
      </c>
      <c r="J926">
        <v>1</v>
      </c>
      <c r="K926" t="str">
        <f t="shared" si="84"/>
        <v>Barbara Dalton</v>
      </c>
      <c r="L926" t="str">
        <f t="shared" si="85"/>
        <v>Female</v>
      </c>
      <c r="M926" t="str">
        <f t="shared" si="86"/>
        <v>Rachel Holloway</v>
      </c>
      <c r="N926" s="4" t="str">
        <f t="shared" si="87"/>
        <v>Cardiology</v>
      </c>
      <c r="O926" s="6">
        <f t="shared" si="88"/>
        <v>306.94</v>
      </c>
      <c r="P926" s="4" t="str">
        <f t="shared" si="89"/>
        <v>Yes</v>
      </c>
      <c r="Q926" s="4" t="str">
        <f>IF(OR(A926="",C926="",L926="Missing",M926="Missing",O926="0.00",K926="Missing"),"Review","OK")</f>
        <v>OK</v>
      </c>
    </row>
    <row r="927" spans="1:17" x14ac:dyDescent="0.3">
      <c r="A927">
        <v>1087</v>
      </c>
      <c r="B927" t="s">
        <v>2923</v>
      </c>
      <c r="C927">
        <v>31</v>
      </c>
      <c r="D927">
        <v>0</v>
      </c>
      <c r="E927" s="3">
        <v>45808</v>
      </c>
      <c r="F927" s="3" t="s">
        <v>212</v>
      </c>
      <c r="G927" t="s">
        <v>2186</v>
      </c>
      <c r="H927" t="s">
        <v>13</v>
      </c>
      <c r="I927" t="s">
        <v>2924</v>
      </c>
      <c r="J927" t="s">
        <v>39</v>
      </c>
      <c r="K927" t="str">
        <f t="shared" si="84"/>
        <v>Alejandra Turner</v>
      </c>
      <c r="L927" t="str">
        <f t="shared" si="85"/>
        <v>Male</v>
      </c>
      <c r="M927" t="str">
        <f t="shared" si="86"/>
        <v>Bradley Jones</v>
      </c>
      <c r="N927" s="4" t="str">
        <f t="shared" si="87"/>
        <v>Cardiology</v>
      </c>
      <c r="O927" s="6">
        <f t="shared" si="88"/>
        <v>194.95</v>
      </c>
      <c r="P927" s="4" t="str">
        <f t="shared" si="89"/>
        <v>Yes</v>
      </c>
      <c r="Q927" s="4" t="str">
        <f>IF(OR(A927="",C927="",L927="Missing",M927="Missing",O927="0.00",K927="Missing"),"Review","OK")</f>
        <v>OK</v>
      </c>
    </row>
    <row r="928" spans="1:17" x14ac:dyDescent="0.3">
      <c r="A928">
        <v>1020</v>
      </c>
      <c r="B928" t="s">
        <v>2925</v>
      </c>
      <c r="C928">
        <v>56</v>
      </c>
      <c r="D928" t="s">
        <v>23</v>
      </c>
      <c r="E928" s="3">
        <v>45767</v>
      </c>
      <c r="F928" s="3">
        <v>45633</v>
      </c>
      <c r="G928" t="s">
        <v>2926</v>
      </c>
      <c r="H928" t="s">
        <v>25</v>
      </c>
      <c r="I928" t="s">
        <v>2927</v>
      </c>
      <c r="J928" t="s">
        <v>21</v>
      </c>
      <c r="K928" t="str">
        <f t="shared" si="84"/>
        <v>Kelsey Shaffer</v>
      </c>
      <c r="L928" t="str">
        <f t="shared" si="85"/>
        <v>Male</v>
      </c>
      <c r="M928" t="str">
        <f t="shared" si="86"/>
        <v>Christina Simmons</v>
      </c>
      <c r="N928" s="4" t="str">
        <f t="shared" si="87"/>
        <v>Neurology</v>
      </c>
      <c r="O928" s="6">
        <f t="shared" si="88"/>
        <v>91.05</v>
      </c>
      <c r="P928" s="4" t="str">
        <f t="shared" si="89"/>
        <v>Yes</v>
      </c>
      <c r="Q928" s="4" t="str">
        <f>IF(OR(A928="",C928="",L928="Missing",M928="Missing",O928="0.00",K928="Missing"),"Review","OK")</f>
        <v>OK</v>
      </c>
    </row>
    <row r="929" spans="1:17" x14ac:dyDescent="0.3">
      <c r="A929">
        <v>1047</v>
      </c>
      <c r="B929" t="s">
        <v>2928</v>
      </c>
      <c r="C929">
        <v>63</v>
      </c>
      <c r="D929" t="s">
        <v>16</v>
      </c>
      <c r="E929" s="3">
        <v>45768</v>
      </c>
      <c r="F929" s="3">
        <v>45811</v>
      </c>
      <c r="G929" t="s">
        <v>2929</v>
      </c>
      <c r="H929" t="s">
        <v>25</v>
      </c>
      <c r="I929" t="s">
        <v>2930</v>
      </c>
      <c r="J929" t="s">
        <v>31</v>
      </c>
      <c r="K929" t="str">
        <f t="shared" si="84"/>
        <v>Kara Stewart</v>
      </c>
      <c r="L929" t="str">
        <f t="shared" si="85"/>
        <v>Female</v>
      </c>
      <c r="M929" t="str">
        <f t="shared" si="86"/>
        <v>Becky Sanchez</v>
      </c>
      <c r="N929" s="4" t="str">
        <f t="shared" si="87"/>
        <v>Neurology</v>
      </c>
      <c r="O929" s="6">
        <f t="shared" si="88"/>
        <v>290.36</v>
      </c>
      <c r="P929" s="4" t="str">
        <f t="shared" si="89"/>
        <v>No</v>
      </c>
      <c r="Q929" s="4" t="str">
        <f>IF(OR(A929="",C929="",L929="Missing",M929="Missing",O929="0.00",K929="Missing"),"Review","OK")</f>
        <v>OK</v>
      </c>
    </row>
    <row r="930" spans="1:17" x14ac:dyDescent="0.3">
      <c r="A930">
        <v>1053</v>
      </c>
      <c r="B930" t="s">
        <v>2931</v>
      </c>
      <c r="C930">
        <v>86</v>
      </c>
      <c r="D930">
        <v>0</v>
      </c>
      <c r="E930" s="3">
        <v>45943</v>
      </c>
      <c r="F930" s="3">
        <v>45516</v>
      </c>
      <c r="G930" t="s">
        <v>2932</v>
      </c>
      <c r="H930" t="s">
        <v>29</v>
      </c>
      <c r="I930" t="s">
        <v>2933</v>
      </c>
      <c r="J930">
        <v>1</v>
      </c>
      <c r="K930" t="str">
        <f t="shared" si="84"/>
        <v>Kenneth Fox</v>
      </c>
      <c r="L930" t="str">
        <f t="shared" si="85"/>
        <v>Male</v>
      </c>
      <c r="M930" t="str">
        <f t="shared" si="86"/>
        <v>Kimberly Sullivan</v>
      </c>
      <c r="N930" s="4" t="str">
        <f t="shared" si="87"/>
        <v>General</v>
      </c>
      <c r="O930" s="6">
        <f t="shared" si="88"/>
        <v>85.53</v>
      </c>
      <c r="P930" s="4" t="str">
        <f t="shared" si="89"/>
        <v>Yes</v>
      </c>
      <c r="Q930" s="4" t="str">
        <f>IF(OR(A930="",C930="",L930="Missing",M930="Missing",O930="0.00",K930="Missing"),"Review","OK")</f>
        <v>OK</v>
      </c>
    </row>
    <row r="931" spans="1:17" x14ac:dyDescent="0.3">
      <c r="A931">
        <v>1031</v>
      </c>
      <c r="B931" t="s">
        <v>2934</v>
      </c>
      <c r="C931">
        <v>31</v>
      </c>
      <c r="D931">
        <v>0</v>
      </c>
      <c r="E931" s="3">
        <v>46098</v>
      </c>
      <c r="F931" s="3">
        <v>45871</v>
      </c>
      <c r="G931" t="s">
        <v>1935</v>
      </c>
      <c r="H931" t="s">
        <v>13</v>
      </c>
      <c r="I931" t="s">
        <v>2935</v>
      </c>
      <c r="J931" t="s">
        <v>39</v>
      </c>
      <c r="K931" t="str">
        <f t="shared" si="84"/>
        <v>Michelle Bradford</v>
      </c>
      <c r="L931" t="str">
        <f t="shared" si="85"/>
        <v>Male</v>
      </c>
      <c r="M931" t="str">
        <f t="shared" si="86"/>
        <v>Robert Williams</v>
      </c>
      <c r="N931" s="4" t="str">
        <f t="shared" si="87"/>
        <v>Cardiology</v>
      </c>
      <c r="O931" s="6">
        <f t="shared" si="88"/>
        <v>419.74</v>
      </c>
      <c r="P931" s="4" t="str">
        <f t="shared" si="89"/>
        <v>Yes</v>
      </c>
      <c r="Q931" s="4" t="str">
        <f>IF(OR(A931="",C931="",L931="Missing",M931="Missing",O931="0.00",K931="Missing"),"Review","OK")</f>
        <v>OK</v>
      </c>
    </row>
    <row r="932" spans="1:17" x14ac:dyDescent="0.3">
      <c r="A932">
        <v>1041</v>
      </c>
      <c r="B932" t="s">
        <v>2936</v>
      </c>
      <c r="C932">
        <v>81</v>
      </c>
      <c r="D932" t="s">
        <v>76</v>
      </c>
      <c r="E932" s="3">
        <v>45926</v>
      </c>
      <c r="F932" s="3">
        <v>45689</v>
      </c>
      <c r="G932" t="s">
        <v>2937</v>
      </c>
      <c r="H932" t="s">
        <v>19</v>
      </c>
      <c r="J932">
        <v>0</v>
      </c>
      <c r="K932" t="str">
        <f t="shared" si="84"/>
        <v>Amy Wilson</v>
      </c>
      <c r="L932" t="str">
        <f t="shared" si="85"/>
        <v>Male</v>
      </c>
      <c r="M932" t="str">
        <f t="shared" si="86"/>
        <v>Nathan Mathews</v>
      </c>
      <c r="N932" s="4" t="str">
        <f t="shared" si="87"/>
        <v>Orthopedics</v>
      </c>
      <c r="O932" s="6" t="str">
        <f t="shared" si="88"/>
        <v>0.00</v>
      </c>
      <c r="P932" s="4" t="str">
        <f t="shared" si="89"/>
        <v>No</v>
      </c>
      <c r="Q932" s="4" t="str">
        <f>IF(OR(A932="",C932="",L932="Missing",M932="Missing",O932="0.00",K932="Missing"),"Review","OK")</f>
        <v>Review</v>
      </c>
    </row>
    <row r="933" spans="1:17" x14ac:dyDescent="0.3">
      <c r="A933">
        <v>1047</v>
      </c>
      <c r="B933" t="s">
        <v>2938</v>
      </c>
      <c r="C933">
        <v>76</v>
      </c>
      <c r="D933" t="s">
        <v>76</v>
      </c>
      <c r="E933" s="3" t="s">
        <v>2076</v>
      </c>
      <c r="F933" s="3">
        <v>45822</v>
      </c>
      <c r="G933" t="s">
        <v>2939</v>
      </c>
      <c r="H933" t="s">
        <v>19</v>
      </c>
      <c r="I933" t="s">
        <v>2940</v>
      </c>
      <c r="J933" t="s">
        <v>65</v>
      </c>
      <c r="K933" t="str">
        <f t="shared" si="84"/>
        <v>Danielle Ortega</v>
      </c>
      <c r="L933" t="str">
        <f t="shared" si="85"/>
        <v>Male</v>
      </c>
      <c r="M933" t="str">
        <f t="shared" si="86"/>
        <v>Tiffany Lowery</v>
      </c>
      <c r="N933" s="4" t="str">
        <f t="shared" si="87"/>
        <v>Orthopedics</v>
      </c>
      <c r="O933" s="6">
        <f t="shared" si="88"/>
        <v>83.67</v>
      </c>
      <c r="P933" s="4" t="str">
        <f t="shared" si="89"/>
        <v>No</v>
      </c>
      <c r="Q933" s="4" t="str">
        <f>IF(OR(A933="",C933="",L933="Missing",M933="Missing",O933="0.00",K933="Missing"),"Review","OK")</f>
        <v>OK</v>
      </c>
    </row>
    <row r="934" spans="1:17" x14ac:dyDescent="0.3">
      <c r="A934">
        <v>1012</v>
      </c>
      <c r="B934" t="s">
        <v>2941</v>
      </c>
      <c r="C934">
        <v>76</v>
      </c>
      <c r="D934" t="s">
        <v>23</v>
      </c>
      <c r="E934" s="3">
        <v>46205</v>
      </c>
      <c r="F934" s="3">
        <v>46037</v>
      </c>
      <c r="G934" t="s">
        <v>2942</v>
      </c>
      <c r="H934" t="s">
        <v>19</v>
      </c>
      <c r="I934" t="s">
        <v>2943</v>
      </c>
      <c r="J934" t="s">
        <v>31</v>
      </c>
      <c r="K934" t="str">
        <f t="shared" si="84"/>
        <v>Gregory Hines</v>
      </c>
      <c r="L934" t="str">
        <f t="shared" si="85"/>
        <v>Male</v>
      </c>
      <c r="M934" t="str">
        <f t="shared" si="86"/>
        <v>Rebecca Goodwin</v>
      </c>
      <c r="N934" s="4" t="str">
        <f t="shared" si="87"/>
        <v>Orthopedics</v>
      </c>
      <c r="O934" s="6">
        <f t="shared" si="88"/>
        <v>255.43</v>
      </c>
      <c r="P934" s="4" t="str">
        <f t="shared" si="89"/>
        <v>No</v>
      </c>
      <c r="Q934" s="4" t="str">
        <f>IF(OR(A934="",C934="",L934="Missing",M934="Missing",O934="0.00",K934="Missing"),"Review","OK")</f>
        <v>OK</v>
      </c>
    </row>
    <row r="935" spans="1:17" x14ac:dyDescent="0.3">
      <c r="A935">
        <v>1034</v>
      </c>
      <c r="B935" t="s">
        <v>2944</v>
      </c>
      <c r="C935">
        <v>90</v>
      </c>
      <c r="D935">
        <v>1</v>
      </c>
      <c r="E935" s="3">
        <v>46206</v>
      </c>
      <c r="F935" s="3">
        <v>45468</v>
      </c>
      <c r="G935" t="s">
        <v>2945</v>
      </c>
      <c r="H935" t="s">
        <v>29</v>
      </c>
      <c r="J935">
        <v>0</v>
      </c>
      <c r="K935" t="str">
        <f t="shared" si="84"/>
        <v>Amanda Douglas</v>
      </c>
      <c r="L935" t="str">
        <f t="shared" si="85"/>
        <v>Female</v>
      </c>
      <c r="M935" t="str">
        <f t="shared" si="86"/>
        <v>Gregory Gonzalez</v>
      </c>
      <c r="N935" s="4" t="str">
        <f t="shared" si="87"/>
        <v>General</v>
      </c>
      <c r="O935" s="6" t="str">
        <f t="shared" si="88"/>
        <v>0.00</v>
      </c>
      <c r="P935" s="4" t="str">
        <f t="shared" si="89"/>
        <v>No</v>
      </c>
      <c r="Q935" s="4" t="str">
        <f>IF(OR(A935="",C935="",L935="Missing",M935="Missing",O935="0.00",K935="Missing"),"Review","OK")</f>
        <v>Review</v>
      </c>
    </row>
    <row r="936" spans="1:17" x14ac:dyDescent="0.3">
      <c r="A936">
        <v>1091</v>
      </c>
      <c r="B936" t="s">
        <v>2946</v>
      </c>
      <c r="C936">
        <v>62</v>
      </c>
      <c r="D936" t="s">
        <v>76</v>
      </c>
      <c r="E936" s="3" t="s">
        <v>2947</v>
      </c>
      <c r="F936" s="3">
        <v>45989</v>
      </c>
      <c r="G936" t="s">
        <v>2948</v>
      </c>
      <c r="H936" t="s">
        <v>25</v>
      </c>
      <c r="I936" t="s">
        <v>2949</v>
      </c>
      <c r="J936" t="s">
        <v>21</v>
      </c>
      <c r="K936" t="str">
        <f t="shared" si="84"/>
        <v>Scott Walker</v>
      </c>
      <c r="L936" t="str">
        <f t="shared" si="85"/>
        <v>Male</v>
      </c>
      <c r="M936" t="str">
        <f t="shared" si="86"/>
        <v>Brianna Hernandez</v>
      </c>
      <c r="N936" s="4" t="str">
        <f t="shared" si="87"/>
        <v>Neurology</v>
      </c>
      <c r="O936" s="6">
        <f t="shared" si="88"/>
        <v>433.63</v>
      </c>
      <c r="P936" s="4" t="str">
        <f t="shared" si="89"/>
        <v>Yes</v>
      </c>
      <c r="Q936" s="4" t="str">
        <f>IF(OR(A936="",C936="",L936="Missing",M936="Missing",O936="0.00",K936="Missing"),"Review","OK")</f>
        <v>OK</v>
      </c>
    </row>
    <row r="937" spans="1:17" x14ac:dyDescent="0.3">
      <c r="A937">
        <v>1034</v>
      </c>
      <c r="B937" t="s">
        <v>2950</v>
      </c>
      <c r="C937">
        <v>71</v>
      </c>
      <c r="D937" t="s">
        <v>76</v>
      </c>
      <c r="E937" s="3">
        <v>46017</v>
      </c>
      <c r="F937" s="3">
        <v>45409</v>
      </c>
      <c r="G937" t="s">
        <v>2951</v>
      </c>
      <c r="H937" t="s">
        <v>25</v>
      </c>
      <c r="I937" t="s">
        <v>2952</v>
      </c>
      <c r="J937">
        <v>0</v>
      </c>
      <c r="K937" t="str">
        <f t="shared" si="84"/>
        <v>Teresa Kim</v>
      </c>
      <c r="L937" t="str">
        <f t="shared" si="85"/>
        <v>Male</v>
      </c>
      <c r="M937" t="str">
        <f t="shared" si="86"/>
        <v>Gregory Brown</v>
      </c>
      <c r="N937" s="4" t="str">
        <f t="shared" si="87"/>
        <v>Neurology</v>
      </c>
      <c r="O937" s="6">
        <f t="shared" si="88"/>
        <v>461.04</v>
      </c>
      <c r="P937" s="4" t="str">
        <f t="shared" si="89"/>
        <v>No</v>
      </c>
      <c r="Q937" s="4" t="str">
        <f>IF(OR(A937="",C937="",L937="Missing",M937="Missing",O937="0.00",K937="Missing"),"Review","OK")</f>
        <v>OK</v>
      </c>
    </row>
    <row r="938" spans="1:17" x14ac:dyDescent="0.3">
      <c r="A938">
        <v>1072</v>
      </c>
      <c r="B938" t="s">
        <v>2953</v>
      </c>
      <c r="C938">
        <v>59</v>
      </c>
      <c r="D938" t="s">
        <v>11</v>
      </c>
      <c r="E938" s="3">
        <v>45772</v>
      </c>
      <c r="F938" s="3">
        <v>45412</v>
      </c>
      <c r="G938" t="s">
        <v>2954</v>
      </c>
      <c r="H938" t="s">
        <v>13</v>
      </c>
      <c r="I938" t="s">
        <v>2955</v>
      </c>
      <c r="J938" t="s">
        <v>21</v>
      </c>
      <c r="K938" t="str">
        <f t="shared" si="84"/>
        <v>Kimberly Miller</v>
      </c>
      <c r="L938" t="str">
        <f t="shared" si="85"/>
        <v>Female</v>
      </c>
      <c r="M938" t="str">
        <f t="shared" si="86"/>
        <v>Anna Jennings</v>
      </c>
      <c r="N938" s="4" t="str">
        <f t="shared" si="87"/>
        <v>Cardiology</v>
      </c>
      <c r="O938" s="6">
        <f t="shared" si="88"/>
        <v>261.01</v>
      </c>
      <c r="P938" s="4" t="str">
        <f t="shared" si="89"/>
        <v>Yes</v>
      </c>
      <c r="Q938" s="4" t="str">
        <f>IF(OR(A938="",C938="",L938="Missing",M938="Missing",O938="0.00",K938="Missing"),"Review","OK")</f>
        <v>OK</v>
      </c>
    </row>
    <row r="939" spans="1:17" x14ac:dyDescent="0.3">
      <c r="A939">
        <v>1048</v>
      </c>
      <c r="B939" t="s">
        <v>2956</v>
      </c>
      <c r="C939">
        <v>84</v>
      </c>
      <c r="D939" t="s">
        <v>16</v>
      </c>
      <c r="E939" s="3" t="s">
        <v>1754</v>
      </c>
      <c r="F939" s="3">
        <v>45686</v>
      </c>
      <c r="G939" t="s">
        <v>2957</v>
      </c>
      <c r="H939" t="s">
        <v>25</v>
      </c>
      <c r="J939" t="s">
        <v>65</v>
      </c>
      <c r="K939" t="str">
        <f t="shared" si="84"/>
        <v>Ashley Black</v>
      </c>
      <c r="L939" t="str">
        <f t="shared" si="85"/>
        <v>Female</v>
      </c>
      <c r="M939" t="str">
        <f t="shared" si="86"/>
        <v>Dennis Murphy</v>
      </c>
      <c r="N939" s="4" t="str">
        <f t="shared" si="87"/>
        <v>Neurology</v>
      </c>
      <c r="O939" s="6" t="str">
        <f t="shared" si="88"/>
        <v>0.00</v>
      </c>
      <c r="P939" s="4" t="str">
        <f t="shared" si="89"/>
        <v>No</v>
      </c>
      <c r="Q939" s="4" t="str">
        <f>IF(OR(A939="",C939="",L939="Missing",M939="Missing",O939="0.00",K939="Missing"),"Review","OK")</f>
        <v>Review</v>
      </c>
    </row>
    <row r="940" spans="1:17" x14ac:dyDescent="0.3">
      <c r="A940">
        <v>1068</v>
      </c>
      <c r="B940" t="s">
        <v>2958</v>
      </c>
      <c r="C940">
        <v>40</v>
      </c>
      <c r="D940" t="s">
        <v>56</v>
      </c>
      <c r="E940" s="3">
        <v>46067</v>
      </c>
      <c r="F940" s="3">
        <v>45909</v>
      </c>
      <c r="G940" t="s">
        <v>2959</v>
      </c>
      <c r="H940" t="s">
        <v>25</v>
      </c>
      <c r="J940">
        <v>1</v>
      </c>
      <c r="K940" t="str">
        <f t="shared" si="84"/>
        <v>Wendy Parks</v>
      </c>
      <c r="L940" t="str">
        <f t="shared" si="85"/>
        <v>Male</v>
      </c>
      <c r="M940" t="str">
        <f t="shared" si="86"/>
        <v>Melissa Williams</v>
      </c>
      <c r="N940" s="4" t="str">
        <f t="shared" si="87"/>
        <v>Neurology</v>
      </c>
      <c r="O940" s="6" t="str">
        <f t="shared" si="88"/>
        <v>0.00</v>
      </c>
      <c r="P940" s="4" t="str">
        <f t="shared" si="89"/>
        <v>Yes</v>
      </c>
      <c r="Q940" s="4" t="str">
        <f>IF(OR(A940="",C940="",L940="Missing",M940="Missing",O940="0.00",K940="Missing"),"Review","OK")</f>
        <v>Review</v>
      </c>
    </row>
    <row r="941" spans="1:17" x14ac:dyDescent="0.3">
      <c r="A941">
        <v>1063</v>
      </c>
      <c r="B941" t="s">
        <v>2960</v>
      </c>
      <c r="C941">
        <v>75</v>
      </c>
      <c r="D941" t="s">
        <v>11</v>
      </c>
      <c r="E941" s="3">
        <v>45722</v>
      </c>
      <c r="F941" s="3">
        <v>45605</v>
      </c>
      <c r="G941" t="s">
        <v>2961</v>
      </c>
      <c r="H941" t="s">
        <v>13</v>
      </c>
      <c r="I941" t="s">
        <v>2962</v>
      </c>
      <c r="J941" t="s">
        <v>39</v>
      </c>
      <c r="K941" t="str">
        <f t="shared" si="84"/>
        <v>Stacy Clements</v>
      </c>
      <c r="L941" t="str">
        <f t="shared" si="85"/>
        <v>Female</v>
      </c>
      <c r="M941" t="str">
        <f t="shared" si="86"/>
        <v>Cynthia Dunn</v>
      </c>
      <c r="N941" s="4" t="str">
        <f t="shared" si="87"/>
        <v>Cardiology</v>
      </c>
      <c r="O941" s="6">
        <f t="shared" si="88"/>
        <v>96.19</v>
      </c>
      <c r="P941" s="4" t="str">
        <f t="shared" si="89"/>
        <v>Yes</v>
      </c>
      <c r="Q941" s="4" t="str">
        <f>IF(OR(A941="",C941="",L941="Missing",M941="Missing",O941="0.00",K941="Missing"),"Review","OK")</f>
        <v>OK</v>
      </c>
    </row>
    <row r="942" spans="1:17" x14ac:dyDescent="0.3">
      <c r="A942">
        <v>1063</v>
      </c>
      <c r="B942" t="s">
        <v>2963</v>
      </c>
      <c r="C942">
        <v>58</v>
      </c>
      <c r="D942" t="s">
        <v>41</v>
      </c>
      <c r="E942" s="3">
        <v>46078</v>
      </c>
      <c r="F942" s="3" t="s">
        <v>2964</v>
      </c>
      <c r="G942" t="s">
        <v>2965</v>
      </c>
      <c r="H942" t="s">
        <v>25</v>
      </c>
      <c r="I942" t="s">
        <v>2966</v>
      </c>
      <c r="J942">
        <v>0</v>
      </c>
      <c r="K942" t="str">
        <f t="shared" si="84"/>
        <v>Kyle Gibbs</v>
      </c>
      <c r="L942" t="str">
        <f t="shared" si="85"/>
        <v>Female</v>
      </c>
      <c r="M942" t="str">
        <f t="shared" si="86"/>
        <v>Christopher Guzman</v>
      </c>
      <c r="N942" s="4" t="str">
        <f t="shared" si="87"/>
        <v>Neurology</v>
      </c>
      <c r="O942" s="6">
        <f t="shared" si="88"/>
        <v>248.76</v>
      </c>
      <c r="P942" s="4" t="str">
        <f t="shared" si="89"/>
        <v>No</v>
      </c>
      <c r="Q942" s="4" t="str">
        <f>IF(OR(A942="",C942="",L942="Missing",M942="Missing",O942="0.00",K942="Missing"),"Review","OK")</f>
        <v>OK</v>
      </c>
    </row>
    <row r="943" spans="1:17" x14ac:dyDescent="0.3">
      <c r="A943">
        <v>1045</v>
      </c>
      <c r="B943" t="s">
        <v>2967</v>
      </c>
      <c r="C943">
        <v>24</v>
      </c>
      <c r="D943" t="s">
        <v>11</v>
      </c>
      <c r="E943" s="3">
        <v>45993</v>
      </c>
      <c r="F943" s="3" t="s">
        <v>2968</v>
      </c>
      <c r="G943" t="s">
        <v>2969</v>
      </c>
      <c r="H943" t="s">
        <v>29</v>
      </c>
      <c r="I943" t="s">
        <v>2970</v>
      </c>
      <c r="J943">
        <v>0</v>
      </c>
      <c r="K943" t="str">
        <f t="shared" si="84"/>
        <v>Beth Stephens</v>
      </c>
      <c r="L943" t="str">
        <f t="shared" si="85"/>
        <v>Female</v>
      </c>
      <c r="M943" t="str">
        <f t="shared" si="86"/>
        <v>Scott Nguyen</v>
      </c>
      <c r="N943" s="4" t="str">
        <f t="shared" si="87"/>
        <v>General</v>
      </c>
      <c r="O943" s="6">
        <f t="shared" si="88"/>
        <v>246.63</v>
      </c>
      <c r="P943" s="4" t="str">
        <f t="shared" si="89"/>
        <v>No</v>
      </c>
      <c r="Q943" s="4" t="str">
        <f>IF(OR(A943="",C943="",L943="Missing",M943="Missing",O943="0.00",K943="Missing"),"Review","OK")</f>
        <v>OK</v>
      </c>
    </row>
    <row r="944" spans="1:17" x14ac:dyDescent="0.3">
      <c r="A944">
        <v>1028</v>
      </c>
      <c r="B944" t="s">
        <v>2971</v>
      </c>
      <c r="C944">
        <v>88</v>
      </c>
      <c r="D944">
        <v>1</v>
      </c>
      <c r="E944" s="3">
        <v>45959</v>
      </c>
      <c r="F944" s="3">
        <v>45738</v>
      </c>
      <c r="G944" t="s">
        <v>32</v>
      </c>
      <c r="H944" t="s">
        <v>13</v>
      </c>
      <c r="I944" t="s">
        <v>2972</v>
      </c>
      <c r="J944" t="s">
        <v>39</v>
      </c>
      <c r="K944" t="str">
        <f t="shared" si="84"/>
        <v>Michael Heath</v>
      </c>
      <c r="L944" t="str">
        <f t="shared" si="85"/>
        <v>Female</v>
      </c>
      <c r="M944" t="str">
        <f t="shared" si="86"/>
        <v>Benjamin Brown</v>
      </c>
      <c r="N944" s="4" t="str">
        <f t="shared" si="87"/>
        <v>Cardiology</v>
      </c>
      <c r="O944" s="6">
        <f t="shared" si="88"/>
        <v>256.58999999999997</v>
      </c>
      <c r="P944" s="4" t="str">
        <f t="shared" si="89"/>
        <v>Yes</v>
      </c>
      <c r="Q944" s="4" t="str">
        <f>IF(OR(A944="",C944="",L944="Missing",M944="Missing",O944="0.00",K944="Missing"),"Review","OK")</f>
        <v>OK</v>
      </c>
    </row>
    <row r="945" spans="1:17" x14ac:dyDescent="0.3">
      <c r="A945">
        <v>1025</v>
      </c>
      <c r="B945" t="s">
        <v>2973</v>
      </c>
      <c r="C945">
        <v>84</v>
      </c>
      <c r="D945" t="s">
        <v>41</v>
      </c>
      <c r="E945" s="3">
        <v>45926</v>
      </c>
      <c r="F945" s="3" t="s">
        <v>970</v>
      </c>
      <c r="G945" t="s">
        <v>2974</v>
      </c>
      <c r="H945" t="s">
        <v>25</v>
      </c>
      <c r="I945" t="s">
        <v>2975</v>
      </c>
      <c r="J945" t="s">
        <v>21</v>
      </c>
      <c r="K945" t="str">
        <f t="shared" si="84"/>
        <v>James Malone</v>
      </c>
      <c r="L945" t="str">
        <f t="shared" si="85"/>
        <v>Female</v>
      </c>
      <c r="M945" t="str">
        <f t="shared" si="86"/>
        <v>Rhonda Oconnor</v>
      </c>
      <c r="N945" s="4" t="str">
        <f t="shared" si="87"/>
        <v>Neurology</v>
      </c>
      <c r="O945" s="6">
        <f t="shared" si="88"/>
        <v>326.83999999999997</v>
      </c>
      <c r="P945" s="4" t="str">
        <f t="shared" si="89"/>
        <v>Yes</v>
      </c>
      <c r="Q945" s="4" t="str">
        <f>IF(OR(A945="",C945="",L945="Missing",M945="Missing",O945="0.00",K945="Missing"),"Review","OK")</f>
        <v>OK</v>
      </c>
    </row>
    <row r="946" spans="1:17" x14ac:dyDescent="0.3">
      <c r="A946">
        <v>1046</v>
      </c>
      <c r="B946" t="s">
        <v>2976</v>
      </c>
      <c r="C946">
        <v>64</v>
      </c>
      <c r="D946">
        <v>1</v>
      </c>
      <c r="E946" s="3" t="s">
        <v>1586</v>
      </c>
      <c r="F946" s="3">
        <v>45525</v>
      </c>
      <c r="G946" t="s">
        <v>2977</v>
      </c>
      <c r="H946" t="s">
        <v>19</v>
      </c>
      <c r="I946" t="s">
        <v>2978</v>
      </c>
      <c r="J946" t="s">
        <v>65</v>
      </c>
      <c r="K946" t="str">
        <f t="shared" si="84"/>
        <v>Christina Moore</v>
      </c>
      <c r="L946" t="str">
        <f t="shared" si="85"/>
        <v>Female</v>
      </c>
      <c r="M946" t="str">
        <f t="shared" si="86"/>
        <v>Joshua Martin</v>
      </c>
      <c r="N946" s="4" t="str">
        <f t="shared" si="87"/>
        <v>Orthopedics</v>
      </c>
      <c r="O946" s="6">
        <f t="shared" si="88"/>
        <v>476.97</v>
      </c>
      <c r="P946" s="4" t="str">
        <f t="shared" si="89"/>
        <v>No</v>
      </c>
      <c r="Q946" s="4" t="str">
        <f>IF(OR(A946="",C946="",L946="Missing",M946="Missing",O946="0.00",K946="Missing"),"Review","OK")</f>
        <v>OK</v>
      </c>
    </row>
    <row r="947" spans="1:17" x14ac:dyDescent="0.3">
      <c r="A947">
        <v>1036</v>
      </c>
      <c r="B947" t="s">
        <v>2979</v>
      </c>
      <c r="C947">
        <v>76</v>
      </c>
      <c r="D947">
        <v>0</v>
      </c>
      <c r="E947" s="3">
        <v>46032</v>
      </c>
      <c r="F947" s="3">
        <v>45869</v>
      </c>
      <c r="G947" t="s">
        <v>2980</v>
      </c>
      <c r="H947" t="s">
        <v>29</v>
      </c>
      <c r="I947" t="s">
        <v>2981</v>
      </c>
      <c r="J947" t="s">
        <v>21</v>
      </c>
      <c r="K947" t="str">
        <f t="shared" si="84"/>
        <v>Katie Mcdaniel</v>
      </c>
      <c r="L947" t="str">
        <f t="shared" si="85"/>
        <v>Male</v>
      </c>
      <c r="M947" t="str">
        <f t="shared" si="86"/>
        <v>Aaron Perkins</v>
      </c>
      <c r="N947" s="4" t="str">
        <f t="shared" si="87"/>
        <v>General</v>
      </c>
      <c r="O947" s="6">
        <f t="shared" si="88"/>
        <v>136.77000000000001</v>
      </c>
      <c r="P947" s="4" t="str">
        <f t="shared" si="89"/>
        <v>Yes</v>
      </c>
      <c r="Q947" s="4" t="str">
        <f>IF(OR(A947="",C947="",L947="Missing",M947="Missing",O947="0.00",K947="Missing"),"Review","OK")</f>
        <v>OK</v>
      </c>
    </row>
    <row r="948" spans="1:17" x14ac:dyDescent="0.3">
      <c r="A948">
        <v>1026</v>
      </c>
      <c r="B948" t="s">
        <v>2982</v>
      </c>
      <c r="C948">
        <v>49</v>
      </c>
      <c r="D948" t="s">
        <v>76</v>
      </c>
      <c r="E948" s="3">
        <v>46067</v>
      </c>
      <c r="F948" s="3">
        <v>45727</v>
      </c>
      <c r="G948" t="s">
        <v>2983</v>
      </c>
      <c r="H948" t="s">
        <v>25</v>
      </c>
      <c r="I948" t="s">
        <v>2984</v>
      </c>
      <c r="J948" t="s">
        <v>31</v>
      </c>
      <c r="K948" t="str">
        <f t="shared" si="84"/>
        <v>Scott Thompson</v>
      </c>
      <c r="L948" t="str">
        <f t="shared" si="85"/>
        <v>Male</v>
      </c>
      <c r="M948" t="str">
        <f t="shared" si="86"/>
        <v>Erika Richards</v>
      </c>
      <c r="N948" s="4" t="str">
        <f t="shared" si="87"/>
        <v>Neurology</v>
      </c>
      <c r="O948" s="6">
        <f t="shared" si="88"/>
        <v>466.59</v>
      </c>
      <c r="P948" s="4" t="str">
        <f t="shared" si="89"/>
        <v>No</v>
      </c>
      <c r="Q948" s="4" t="str">
        <f>IF(OR(A948="",C948="",L948="Missing",M948="Missing",O948="0.00",K948="Missing"),"Review","OK")</f>
        <v>OK</v>
      </c>
    </row>
    <row r="949" spans="1:17" x14ac:dyDescent="0.3">
      <c r="A949">
        <v>1097</v>
      </c>
      <c r="B949" t="s">
        <v>2985</v>
      </c>
      <c r="C949">
        <v>27</v>
      </c>
      <c r="D949" t="s">
        <v>56</v>
      </c>
      <c r="E949" s="3">
        <v>45963</v>
      </c>
      <c r="F949" s="3">
        <v>45407</v>
      </c>
      <c r="G949" t="s">
        <v>2986</v>
      </c>
      <c r="H949" t="s">
        <v>29</v>
      </c>
      <c r="I949" t="s">
        <v>2987</v>
      </c>
      <c r="J949" t="s">
        <v>39</v>
      </c>
      <c r="K949" t="str">
        <f t="shared" si="84"/>
        <v>Jon Berry</v>
      </c>
      <c r="L949" t="str">
        <f t="shared" si="85"/>
        <v>Male</v>
      </c>
      <c r="M949" t="str">
        <f t="shared" si="86"/>
        <v>Heather Foster</v>
      </c>
      <c r="N949" s="4" t="str">
        <f t="shared" si="87"/>
        <v>General</v>
      </c>
      <c r="O949" s="6">
        <f t="shared" si="88"/>
        <v>342.3</v>
      </c>
      <c r="P949" s="4" t="str">
        <f t="shared" si="89"/>
        <v>Yes</v>
      </c>
      <c r="Q949" s="4" t="str">
        <f>IF(OR(A949="",C949="",L949="Missing",M949="Missing",O949="0.00",K949="Missing"),"Review","OK")</f>
        <v>OK</v>
      </c>
    </row>
    <row r="950" spans="1:17" x14ac:dyDescent="0.3">
      <c r="A950">
        <v>1014</v>
      </c>
      <c r="B950" t="s">
        <v>2988</v>
      </c>
      <c r="C950">
        <v>29</v>
      </c>
      <c r="D950">
        <v>1</v>
      </c>
      <c r="E950" s="3">
        <v>46021</v>
      </c>
      <c r="F950" s="3">
        <v>45877</v>
      </c>
      <c r="G950" t="s">
        <v>2989</v>
      </c>
      <c r="H950" t="s">
        <v>25</v>
      </c>
      <c r="I950" t="s">
        <v>2990</v>
      </c>
      <c r="J950" t="s">
        <v>65</v>
      </c>
      <c r="K950" t="str">
        <f t="shared" si="84"/>
        <v>Connie Wheeler</v>
      </c>
      <c r="L950" t="str">
        <f t="shared" si="85"/>
        <v>Female</v>
      </c>
      <c r="M950" t="str">
        <f t="shared" si="86"/>
        <v>Sherri Buckley</v>
      </c>
      <c r="N950" s="4" t="str">
        <f t="shared" si="87"/>
        <v>Neurology</v>
      </c>
      <c r="O950" s="6">
        <f t="shared" si="88"/>
        <v>444.2</v>
      </c>
      <c r="P950" s="4" t="str">
        <f t="shared" si="89"/>
        <v>No</v>
      </c>
      <c r="Q950" s="4" t="str">
        <f>IF(OR(A950="",C950="",L950="Missing",M950="Missing",O950="0.00",K950="Missing"),"Review","OK")</f>
        <v>OK</v>
      </c>
    </row>
    <row r="951" spans="1:17" x14ac:dyDescent="0.3">
      <c r="A951">
        <v>1085</v>
      </c>
      <c r="B951" t="s">
        <v>2991</v>
      </c>
      <c r="C951">
        <v>63</v>
      </c>
      <c r="D951" t="s">
        <v>76</v>
      </c>
      <c r="E951" s="3">
        <v>45881</v>
      </c>
      <c r="F951" s="3">
        <v>45599</v>
      </c>
      <c r="G951" t="s">
        <v>2992</v>
      </c>
      <c r="H951" t="s">
        <v>19</v>
      </c>
      <c r="I951" t="s">
        <v>2993</v>
      </c>
      <c r="J951" t="s">
        <v>21</v>
      </c>
      <c r="K951" t="str">
        <f t="shared" si="84"/>
        <v>Jonathan Howell</v>
      </c>
      <c r="L951" t="str">
        <f t="shared" si="85"/>
        <v>Male</v>
      </c>
      <c r="M951" t="str">
        <f t="shared" si="86"/>
        <v>Darryl Case</v>
      </c>
      <c r="N951" s="4" t="str">
        <f t="shared" si="87"/>
        <v>Orthopedics</v>
      </c>
      <c r="O951" s="6">
        <f t="shared" si="88"/>
        <v>421.18</v>
      </c>
      <c r="P951" s="4" t="str">
        <f t="shared" si="89"/>
        <v>Yes</v>
      </c>
      <c r="Q951" s="4" t="str">
        <f>IF(OR(A951="",C951="",L951="Missing",M951="Missing",O951="0.00",K951="Missing"),"Review","OK")</f>
        <v>OK</v>
      </c>
    </row>
    <row r="952" spans="1:17" x14ac:dyDescent="0.3">
      <c r="A952">
        <v>1005</v>
      </c>
      <c r="B952" t="s">
        <v>2994</v>
      </c>
      <c r="C952">
        <v>54</v>
      </c>
      <c r="D952" t="s">
        <v>76</v>
      </c>
      <c r="E952" s="3">
        <v>45784</v>
      </c>
      <c r="F952" s="3">
        <v>45465</v>
      </c>
      <c r="G952" t="s">
        <v>2995</v>
      </c>
      <c r="H952" t="s">
        <v>29</v>
      </c>
      <c r="I952" t="s">
        <v>2996</v>
      </c>
      <c r="J952" t="s">
        <v>31</v>
      </c>
      <c r="K952" t="str">
        <f t="shared" si="84"/>
        <v>Michelle King</v>
      </c>
      <c r="L952" t="str">
        <f t="shared" si="85"/>
        <v>Male</v>
      </c>
      <c r="M952" t="str">
        <f t="shared" si="86"/>
        <v>Anthony Hughes</v>
      </c>
      <c r="N952" s="4" t="str">
        <f t="shared" si="87"/>
        <v>General</v>
      </c>
      <c r="O952" s="6">
        <f t="shared" si="88"/>
        <v>386.3</v>
      </c>
      <c r="P952" s="4" t="str">
        <f t="shared" si="89"/>
        <v>No</v>
      </c>
      <c r="Q952" s="4" t="str">
        <f>IF(OR(A952="",C952="",L952="Missing",M952="Missing",O952="0.00",K952="Missing"),"Review","OK")</f>
        <v>OK</v>
      </c>
    </row>
    <row r="953" spans="1:17" x14ac:dyDescent="0.3">
      <c r="A953">
        <v>1075</v>
      </c>
      <c r="B953" t="s">
        <v>2997</v>
      </c>
      <c r="C953">
        <v>59</v>
      </c>
      <c r="D953" t="s">
        <v>23</v>
      </c>
      <c r="E953" s="3">
        <v>46101</v>
      </c>
      <c r="F953" s="3">
        <v>46015</v>
      </c>
      <c r="G953" t="s">
        <v>2998</v>
      </c>
      <c r="H953" t="s">
        <v>13</v>
      </c>
      <c r="I953" t="s">
        <v>2999</v>
      </c>
      <c r="J953">
        <v>1</v>
      </c>
      <c r="K953" t="str">
        <f t="shared" si="84"/>
        <v>Christine Barron</v>
      </c>
      <c r="L953" t="str">
        <f t="shared" si="85"/>
        <v>Male</v>
      </c>
      <c r="M953" t="str">
        <f t="shared" si="86"/>
        <v>Thomas Clark Md</v>
      </c>
      <c r="N953" s="4" t="str">
        <f t="shared" si="87"/>
        <v>Cardiology</v>
      </c>
      <c r="O953" s="6">
        <f t="shared" si="88"/>
        <v>107.04</v>
      </c>
      <c r="P953" s="4" t="str">
        <f t="shared" si="89"/>
        <v>Yes</v>
      </c>
      <c r="Q953" s="4" t="str">
        <f>IF(OR(A953="",C953="",L953="Missing",M953="Missing",O953="0.00",K953="Missing"),"Review","OK")</f>
        <v>OK</v>
      </c>
    </row>
    <row r="954" spans="1:17" x14ac:dyDescent="0.3">
      <c r="A954">
        <v>1082</v>
      </c>
      <c r="B954" t="s">
        <v>3000</v>
      </c>
      <c r="C954">
        <v>37</v>
      </c>
      <c r="D954" t="s">
        <v>76</v>
      </c>
      <c r="E954" s="3">
        <v>45766</v>
      </c>
      <c r="F954" s="3">
        <v>45411</v>
      </c>
      <c r="G954" t="s">
        <v>3001</v>
      </c>
      <c r="H954" t="s">
        <v>19</v>
      </c>
      <c r="I954" t="s">
        <v>3002</v>
      </c>
      <c r="J954">
        <v>0</v>
      </c>
      <c r="K954" t="str">
        <f t="shared" si="84"/>
        <v>Dr. Karen Miller Dds</v>
      </c>
      <c r="L954" t="str">
        <f t="shared" si="85"/>
        <v>Male</v>
      </c>
      <c r="M954" t="str">
        <f t="shared" si="86"/>
        <v>Martin Herring</v>
      </c>
      <c r="N954" s="4" t="str">
        <f t="shared" si="87"/>
        <v>Orthopedics</v>
      </c>
      <c r="O954" s="6">
        <f t="shared" si="88"/>
        <v>381.15</v>
      </c>
      <c r="P954" s="4" t="str">
        <f t="shared" si="89"/>
        <v>No</v>
      </c>
      <c r="Q954" s="4" t="str">
        <f>IF(OR(A954="",C954="",L954="Missing",M954="Missing",O954="0.00",K954="Missing"),"Review","OK")</f>
        <v>OK</v>
      </c>
    </row>
    <row r="955" spans="1:17" x14ac:dyDescent="0.3">
      <c r="A955">
        <v>1089</v>
      </c>
      <c r="B955" t="s">
        <v>3003</v>
      </c>
      <c r="C955">
        <v>69</v>
      </c>
      <c r="D955" t="s">
        <v>56</v>
      </c>
      <c r="E955" s="3">
        <v>45757</v>
      </c>
      <c r="F955" s="3" t="s">
        <v>102</v>
      </c>
      <c r="G955" t="s">
        <v>3004</v>
      </c>
      <c r="H955" t="s">
        <v>29</v>
      </c>
      <c r="I955" t="s">
        <v>3005</v>
      </c>
      <c r="J955" t="s">
        <v>21</v>
      </c>
      <c r="K955" t="str">
        <f t="shared" si="84"/>
        <v>Kimberly Barnett</v>
      </c>
      <c r="L955" t="str">
        <f t="shared" si="85"/>
        <v>Male</v>
      </c>
      <c r="M955" t="str">
        <f t="shared" si="86"/>
        <v>William Bryan</v>
      </c>
      <c r="N955" s="4" t="str">
        <f t="shared" si="87"/>
        <v>General</v>
      </c>
      <c r="O955" s="6">
        <f t="shared" si="88"/>
        <v>477.98</v>
      </c>
      <c r="P955" s="4" t="str">
        <f t="shared" si="89"/>
        <v>Yes</v>
      </c>
      <c r="Q955" s="4" t="str">
        <f>IF(OR(A955="",C955="",L955="Missing",M955="Missing",O955="0.00",K955="Missing"),"Review","OK")</f>
        <v>OK</v>
      </c>
    </row>
    <row r="956" spans="1:17" x14ac:dyDescent="0.3">
      <c r="A956">
        <v>1092</v>
      </c>
      <c r="B956" t="s">
        <v>3006</v>
      </c>
      <c r="C956">
        <v>53</v>
      </c>
      <c r="D956" t="s">
        <v>41</v>
      </c>
      <c r="E956" s="3" t="s">
        <v>3007</v>
      </c>
      <c r="F956" s="3">
        <v>45435</v>
      </c>
      <c r="G956" t="s">
        <v>3008</v>
      </c>
      <c r="H956" t="s">
        <v>19</v>
      </c>
      <c r="I956" t="s">
        <v>3009</v>
      </c>
      <c r="J956" t="s">
        <v>21</v>
      </c>
      <c r="K956" t="str">
        <f t="shared" si="84"/>
        <v>Abigail Warner</v>
      </c>
      <c r="L956" t="str">
        <f t="shared" si="85"/>
        <v>Female</v>
      </c>
      <c r="M956" t="str">
        <f t="shared" si="86"/>
        <v>Heather Stokes</v>
      </c>
      <c r="N956" s="4" t="str">
        <f t="shared" si="87"/>
        <v>Orthopedics</v>
      </c>
      <c r="O956" s="6">
        <f t="shared" si="88"/>
        <v>418.27</v>
      </c>
      <c r="P956" s="4" t="str">
        <f t="shared" si="89"/>
        <v>Yes</v>
      </c>
      <c r="Q956" s="4" t="str">
        <f>IF(OR(A956="",C956="",L956="Missing",M956="Missing",O956="0.00",K956="Missing"),"Review","OK")</f>
        <v>OK</v>
      </c>
    </row>
    <row r="957" spans="1:17" x14ac:dyDescent="0.3">
      <c r="A957">
        <v>1066</v>
      </c>
      <c r="B957" t="s">
        <v>3010</v>
      </c>
      <c r="C957">
        <v>46</v>
      </c>
      <c r="D957">
        <v>1</v>
      </c>
      <c r="E957" s="3">
        <v>46107</v>
      </c>
      <c r="F957" s="3">
        <v>45829</v>
      </c>
      <c r="G957" t="s">
        <v>3011</v>
      </c>
      <c r="H957" t="s">
        <v>13</v>
      </c>
      <c r="I957" t="s">
        <v>3012</v>
      </c>
      <c r="J957">
        <v>0</v>
      </c>
      <c r="K957" t="str">
        <f t="shared" si="84"/>
        <v>Melissa Vaughn</v>
      </c>
      <c r="L957" t="str">
        <f t="shared" si="85"/>
        <v>Female</v>
      </c>
      <c r="M957" t="str">
        <f t="shared" si="86"/>
        <v>Vickie Johnson</v>
      </c>
      <c r="N957" s="4" t="str">
        <f t="shared" si="87"/>
        <v>Cardiology</v>
      </c>
      <c r="O957" s="6">
        <f t="shared" si="88"/>
        <v>300.52</v>
      </c>
      <c r="P957" s="4" t="str">
        <f t="shared" si="89"/>
        <v>No</v>
      </c>
      <c r="Q957" s="4" t="str">
        <f>IF(OR(A957="",C957="",L957="Missing",M957="Missing",O957="0.00",K957="Missing"),"Review","OK")</f>
        <v>OK</v>
      </c>
    </row>
    <row r="958" spans="1:17" x14ac:dyDescent="0.3">
      <c r="A958">
        <v>1016</v>
      </c>
      <c r="B958" t="s">
        <v>3013</v>
      </c>
      <c r="C958">
        <v>22</v>
      </c>
      <c r="D958" t="s">
        <v>23</v>
      </c>
      <c r="E958" s="3">
        <v>45777</v>
      </c>
      <c r="F958" s="3">
        <v>45483</v>
      </c>
      <c r="G958" t="s">
        <v>3014</v>
      </c>
      <c r="H958" t="s">
        <v>13</v>
      </c>
      <c r="J958" t="s">
        <v>65</v>
      </c>
      <c r="K958" t="str">
        <f t="shared" si="84"/>
        <v>Jocelyn Strickland</v>
      </c>
      <c r="L958" t="str">
        <f t="shared" si="85"/>
        <v>Male</v>
      </c>
      <c r="M958" t="str">
        <f t="shared" si="86"/>
        <v>Vincent Kemp</v>
      </c>
      <c r="N958" s="4" t="str">
        <f t="shared" si="87"/>
        <v>Cardiology</v>
      </c>
      <c r="O958" s="6" t="str">
        <f t="shared" si="88"/>
        <v>0.00</v>
      </c>
      <c r="P958" s="4" t="str">
        <f t="shared" si="89"/>
        <v>No</v>
      </c>
      <c r="Q958" s="4" t="str">
        <f>IF(OR(A958="",C958="",L958="Missing",M958="Missing",O958="0.00",K958="Missing"),"Review","OK")</f>
        <v>Review</v>
      </c>
    </row>
    <row r="959" spans="1:17" x14ac:dyDescent="0.3">
      <c r="A959">
        <v>1041</v>
      </c>
      <c r="B959" t="s">
        <v>3015</v>
      </c>
      <c r="C959">
        <v>43</v>
      </c>
      <c r="D959">
        <v>0</v>
      </c>
      <c r="E959" s="3">
        <v>45917</v>
      </c>
      <c r="F959" s="3">
        <v>45421</v>
      </c>
      <c r="G959" t="s">
        <v>3016</v>
      </c>
      <c r="H959" t="s">
        <v>19</v>
      </c>
      <c r="I959" t="s">
        <v>3017</v>
      </c>
      <c r="J959">
        <v>0</v>
      </c>
      <c r="K959" t="str">
        <f t="shared" si="84"/>
        <v>Lindsay Shaw</v>
      </c>
      <c r="L959" t="str">
        <f t="shared" si="85"/>
        <v>Male</v>
      </c>
      <c r="M959" t="str">
        <f t="shared" si="86"/>
        <v>Julia Mcmillan</v>
      </c>
      <c r="N959" s="4" t="str">
        <f t="shared" si="87"/>
        <v>Orthopedics</v>
      </c>
      <c r="O959" s="6">
        <f t="shared" si="88"/>
        <v>485.93</v>
      </c>
      <c r="P959" s="4" t="str">
        <f t="shared" si="89"/>
        <v>No</v>
      </c>
      <c r="Q959" s="4" t="str">
        <f>IF(OR(A959="",C959="",L959="Missing",M959="Missing",O959="0.00",K959="Missing"),"Review","OK")</f>
        <v>OK</v>
      </c>
    </row>
    <row r="960" spans="1:17" x14ac:dyDescent="0.3">
      <c r="A960">
        <v>1052</v>
      </c>
      <c r="B960" t="s">
        <v>3018</v>
      </c>
      <c r="C960">
        <v>88</v>
      </c>
      <c r="D960">
        <v>0</v>
      </c>
      <c r="E960" s="3">
        <v>46006</v>
      </c>
      <c r="F960" s="3">
        <v>45975</v>
      </c>
      <c r="G960" t="s">
        <v>3019</v>
      </c>
      <c r="H960" t="s">
        <v>19</v>
      </c>
      <c r="I960" t="s">
        <v>3020</v>
      </c>
      <c r="J960">
        <v>1</v>
      </c>
      <c r="K960" t="str">
        <f t="shared" si="84"/>
        <v>Melvin Bowers</v>
      </c>
      <c r="L960" t="str">
        <f t="shared" si="85"/>
        <v>Male</v>
      </c>
      <c r="M960" t="str">
        <f t="shared" si="86"/>
        <v>Robin Diaz</v>
      </c>
      <c r="N960" s="4" t="str">
        <f t="shared" si="87"/>
        <v>Orthopedics</v>
      </c>
      <c r="O960" s="6">
        <f t="shared" si="88"/>
        <v>164.2</v>
      </c>
      <c r="P960" s="4" t="str">
        <f t="shared" si="89"/>
        <v>Yes</v>
      </c>
      <c r="Q960" s="4" t="str">
        <f>IF(OR(A960="",C960="",L960="Missing",M960="Missing",O960="0.00",K960="Missing"),"Review","OK")</f>
        <v>OK</v>
      </c>
    </row>
    <row r="961" spans="1:17" x14ac:dyDescent="0.3">
      <c r="A961">
        <v>1051</v>
      </c>
      <c r="B961" t="s">
        <v>3021</v>
      </c>
      <c r="C961">
        <v>64</v>
      </c>
      <c r="D961" t="s">
        <v>16</v>
      </c>
      <c r="E961" s="3">
        <v>45755</v>
      </c>
      <c r="F961" s="3">
        <v>45496</v>
      </c>
      <c r="G961" t="s">
        <v>3022</v>
      </c>
      <c r="H961" t="s">
        <v>13</v>
      </c>
      <c r="I961" t="s">
        <v>3023</v>
      </c>
      <c r="J961" t="s">
        <v>31</v>
      </c>
      <c r="K961" t="str">
        <f t="shared" si="84"/>
        <v>Victoria Gilbert</v>
      </c>
      <c r="L961" t="str">
        <f t="shared" si="85"/>
        <v>Female</v>
      </c>
      <c r="M961" t="str">
        <f t="shared" si="86"/>
        <v>April Spears</v>
      </c>
      <c r="N961" s="4" t="str">
        <f t="shared" si="87"/>
        <v>Cardiology</v>
      </c>
      <c r="O961" s="6">
        <f t="shared" si="88"/>
        <v>390.1</v>
      </c>
      <c r="P961" s="4" t="str">
        <f t="shared" si="89"/>
        <v>No</v>
      </c>
      <c r="Q961" s="4" t="str">
        <f>IF(OR(A961="",C961="",L961="Missing",M961="Missing",O961="0.00",K961="Missing"),"Review","OK")</f>
        <v>OK</v>
      </c>
    </row>
    <row r="962" spans="1:17" x14ac:dyDescent="0.3">
      <c r="A962">
        <v>1035</v>
      </c>
      <c r="B962" t="s">
        <v>3024</v>
      </c>
      <c r="C962">
        <v>33</v>
      </c>
      <c r="D962" t="s">
        <v>56</v>
      </c>
      <c r="E962" s="3">
        <v>45752</v>
      </c>
      <c r="F962" s="3">
        <v>45447</v>
      </c>
      <c r="G962" t="s">
        <v>1026</v>
      </c>
      <c r="H962" t="s">
        <v>29</v>
      </c>
      <c r="I962" t="s">
        <v>3025</v>
      </c>
      <c r="J962">
        <v>1</v>
      </c>
      <c r="K962" t="str">
        <f t="shared" ref="K962:K1001" si="90">PROPER(TRIM(CLEAN(B962)))</f>
        <v>John Marsh</v>
      </c>
      <c r="L962" t="str">
        <f t="shared" ref="L962:L1001" si="91">_xlfn.LET(_xlpm.x,LOWER(TRIM(D962)),
IF(OR(_xlpm.x="f",_xlpm.x="female",_xlpm.x="1"),"Female",
IF(OR(_xlpm.x="m",_xlpm.x="male",_xlpm.x="0"),"Male",
IF(_xlpm.x="","Missing","Review"))))</f>
        <v>Male</v>
      </c>
      <c r="M962" t="str">
        <f t="shared" ref="M962:M1001" si="92">PROPER(TRIM(CLEAN(G962)))</f>
        <v>Michael Wright</v>
      </c>
      <c r="N962" s="4" t="str">
        <f t="shared" ref="N962:N1001" si="93">PROPER(TRIM(CLEAN(H962)))</f>
        <v>General</v>
      </c>
      <c r="O962" s="6">
        <f t="shared" ref="O962:O1001" si="94">_xlfn.LET(_xlpm.x,TRIM(I962),IF(_xlpm.x="","0.00",IFERROR(VALUE(SUBSTITUTE(SUBSTITUTE(SUBSTITUTE(SUBSTITUTE(SUBSTITUTE(SUBSTITUTE(_xlpm.x,"Â£",""),"â‚¬",""),"$",""),"Rs",""),"£",""),"€","")),"0.00")))</f>
        <v>407.7</v>
      </c>
      <c r="P962" s="4" t="str">
        <f t="shared" ref="P962:P1001" si="95">_xlfn.LET(_xlpm.x,LOWER(TRIM(J962)),
IF(OR(_xlpm.x="y",_xlpm.x="yes",_xlpm.x="1"),"Yes",
IF(OR(_xlpm.x="n",_xlpm.x="no",_xlpm.x="0"),"No",
IF(_xlpm.x="","Missing","Review"))))</f>
        <v>Yes</v>
      </c>
      <c r="Q962" s="4" t="str">
        <f>IF(OR(A962="",C962="",L962="Missing",M962="Missing",O962="0.00",K962="Missing"),"Review","OK")</f>
        <v>OK</v>
      </c>
    </row>
    <row r="963" spans="1:17" x14ac:dyDescent="0.3">
      <c r="A963">
        <v>1074</v>
      </c>
      <c r="B963" t="s">
        <v>3026</v>
      </c>
      <c r="C963">
        <v>80</v>
      </c>
      <c r="D963" t="s">
        <v>23</v>
      </c>
      <c r="E963" s="3">
        <v>45972</v>
      </c>
      <c r="F963" s="3">
        <v>45797</v>
      </c>
      <c r="G963" t="s">
        <v>3027</v>
      </c>
      <c r="H963" t="s">
        <v>25</v>
      </c>
      <c r="I963" t="s">
        <v>3028</v>
      </c>
      <c r="J963" t="s">
        <v>31</v>
      </c>
      <c r="K963" t="str">
        <f t="shared" si="90"/>
        <v>Eugene Underwood</v>
      </c>
      <c r="L963" t="str">
        <f t="shared" si="91"/>
        <v>Male</v>
      </c>
      <c r="M963" t="str">
        <f t="shared" si="92"/>
        <v>Benjamin Williams</v>
      </c>
      <c r="N963" s="4" t="str">
        <f t="shared" si="93"/>
        <v>Neurology</v>
      </c>
      <c r="O963" s="6">
        <f t="shared" si="94"/>
        <v>467.55</v>
      </c>
      <c r="P963" s="4" t="str">
        <f t="shared" si="95"/>
        <v>No</v>
      </c>
      <c r="Q963" s="4" t="str">
        <f>IF(OR(A963="",C963="",L963="Missing",M963="Missing",O963="0.00",K963="Missing"),"Review","OK")</f>
        <v>OK</v>
      </c>
    </row>
    <row r="964" spans="1:17" x14ac:dyDescent="0.3">
      <c r="A964">
        <v>1098</v>
      </c>
      <c r="B964" t="s">
        <v>3029</v>
      </c>
      <c r="C964">
        <v>87</v>
      </c>
      <c r="D964" t="s">
        <v>23</v>
      </c>
      <c r="E964" s="3">
        <v>45840</v>
      </c>
      <c r="F964" s="3">
        <v>45621</v>
      </c>
      <c r="G964" t="s">
        <v>3030</v>
      </c>
      <c r="H964" t="s">
        <v>19</v>
      </c>
      <c r="I964" t="s">
        <v>3031</v>
      </c>
      <c r="J964">
        <v>0</v>
      </c>
      <c r="K964" t="str">
        <f t="shared" si="90"/>
        <v>Michelle Payne</v>
      </c>
      <c r="L964" t="str">
        <f t="shared" si="91"/>
        <v>Male</v>
      </c>
      <c r="M964" t="str">
        <f t="shared" si="92"/>
        <v>Cassandra Bishop</v>
      </c>
      <c r="N964" s="4" t="str">
        <f t="shared" si="93"/>
        <v>Orthopedics</v>
      </c>
      <c r="O964" s="6">
        <f t="shared" si="94"/>
        <v>119.41</v>
      </c>
      <c r="P964" s="4" t="str">
        <f t="shared" si="95"/>
        <v>No</v>
      </c>
      <c r="Q964" s="4" t="str">
        <f>IF(OR(A964="",C964="",L964="Missing",M964="Missing",O964="0.00",K964="Missing"),"Review","OK")</f>
        <v>OK</v>
      </c>
    </row>
    <row r="965" spans="1:17" x14ac:dyDescent="0.3">
      <c r="A965">
        <v>1100</v>
      </c>
      <c r="B965" t="s">
        <v>3032</v>
      </c>
      <c r="C965">
        <v>31</v>
      </c>
      <c r="D965" t="s">
        <v>23</v>
      </c>
      <c r="E965" s="3">
        <v>45667</v>
      </c>
      <c r="F965" s="3">
        <v>45590</v>
      </c>
      <c r="G965" t="s">
        <v>3033</v>
      </c>
      <c r="H965" t="s">
        <v>13</v>
      </c>
      <c r="I965" t="s">
        <v>3034</v>
      </c>
      <c r="J965" t="s">
        <v>31</v>
      </c>
      <c r="K965" t="str">
        <f t="shared" si="90"/>
        <v>Melanie Lee</v>
      </c>
      <c r="L965" t="str">
        <f t="shared" si="91"/>
        <v>Male</v>
      </c>
      <c r="M965" t="str">
        <f t="shared" si="92"/>
        <v>Andrea Kennedy</v>
      </c>
      <c r="N965" s="4" t="str">
        <f t="shared" si="93"/>
        <v>Cardiology</v>
      </c>
      <c r="O965" s="6">
        <f t="shared" si="94"/>
        <v>441.89</v>
      </c>
      <c r="P965" s="4" t="str">
        <f t="shared" si="95"/>
        <v>No</v>
      </c>
      <c r="Q965" s="4" t="str">
        <f>IF(OR(A965="",C965="",L965="Missing",M965="Missing",O965="0.00",K965="Missing"),"Review","OK")</f>
        <v>OK</v>
      </c>
    </row>
    <row r="966" spans="1:17" x14ac:dyDescent="0.3">
      <c r="A966">
        <v>1049</v>
      </c>
      <c r="B966" t="s">
        <v>3035</v>
      </c>
      <c r="C966">
        <v>20</v>
      </c>
      <c r="D966">
        <v>1</v>
      </c>
      <c r="E966" s="3">
        <v>46020</v>
      </c>
      <c r="F966" s="3" t="s">
        <v>2099</v>
      </c>
      <c r="G966" t="s">
        <v>3036</v>
      </c>
      <c r="H966" t="s">
        <v>29</v>
      </c>
      <c r="I966" t="s">
        <v>3037</v>
      </c>
      <c r="J966" t="s">
        <v>65</v>
      </c>
      <c r="K966" t="str">
        <f t="shared" si="90"/>
        <v>Jessica Murray</v>
      </c>
      <c r="L966" t="str">
        <f t="shared" si="91"/>
        <v>Female</v>
      </c>
      <c r="M966" t="str">
        <f t="shared" si="92"/>
        <v>James Harris</v>
      </c>
      <c r="N966" s="4" t="str">
        <f t="shared" si="93"/>
        <v>General</v>
      </c>
      <c r="O966" s="6">
        <f t="shared" si="94"/>
        <v>184.38</v>
      </c>
      <c r="P966" s="4" t="str">
        <f t="shared" si="95"/>
        <v>No</v>
      </c>
      <c r="Q966" s="4" t="str">
        <f>IF(OR(A966="",C966="",L966="Missing",M966="Missing",O966="0.00",K966="Missing"),"Review","OK")</f>
        <v>OK</v>
      </c>
    </row>
    <row r="967" spans="1:17" x14ac:dyDescent="0.3">
      <c r="A967">
        <v>1021</v>
      </c>
      <c r="B967" t="s">
        <v>3038</v>
      </c>
      <c r="C967">
        <v>80</v>
      </c>
      <c r="D967">
        <v>1</v>
      </c>
      <c r="E967" s="3">
        <v>45823</v>
      </c>
      <c r="F967" s="3">
        <v>45521</v>
      </c>
      <c r="G967" t="s">
        <v>3039</v>
      </c>
      <c r="H967" t="s">
        <v>19</v>
      </c>
      <c r="I967" t="s">
        <v>3040</v>
      </c>
      <c r="J967">
        <v>1</v>
      </c>
      <c r="K967" t="str">
        <f t="shared" si="90"/>
        <v>William Villarreal</v>
      </c>
      <c r="L967" t="str">
        <f t="shared" si="91"/>
        <v>Female</v>
      </c>
      <c r="M967" t="str">
        <f t="shared" si="92"/>
        <v>Ronald Davis</v>
      </c>
      <c r="N967" s="4" t="str">
        <f t="shared" si="93"/>
        <v>Orthopedics</v>
      </c>
      <c r="O967" s="6">
        <f t="shared" si="94"/>
        <v>269.35000000000002</v>
      </c>
      <c r="P967" s="4" t="str">
        <f t="shared" si="95"/>
        <v>Yes</v>
      </c>
      <c r="Q967" s="4" t="str">
        <f>IF(OR(A967="",C967="",L967="Missing",M967="Missing",O967="0.00",K967="Missing"),"Review","OK")</f>
        <v>OK</v>
      </c>
    </row>
    <row r="968" spans="1:17" x14ac:dyDescent="0.3">
      <c r="A968">
        <v>1069</v>
      </c>
      <c r="B968" t="s">
        <v>3041</v>
      </c>
      <c r="C968">
        <v>18</v>
      </c>
      <c r="D968">
        <v>1</v>
      </c>
      <c r="E968" s="3">
        <v>45947</v>
      </c>
      <c r="F968" s="3">
        <v>45419</v>
      </c>
      <c r="G968" t="s">
        <v>3042</v>
      </c>
      <c r="H968" t="s">
        <v>13</v>
      </c>
      <c r="I968" t="s">
        <v>3043</v>
      </c>
      <c r="J968" t="s">
        <v>31</v>
      </c>
      <c r="K968" t="str">
        <f t="shared" si="90"/>
        <v>Monica Jones</v>
      </c>
      <c r="L968" t="str">
        <f t="shared" si="91"/>
        <v>Female</v>
      </c>
      <c r="M968" t="str">
        <f t="shared" si="92"/>
        <v>Cheryl Bailey</v>
      </c>
      <c r="N968" s="4" t="str">
        <f t="shared" si="93"/>
        <v>Cardiology</v>
      </c>
      <c r="O968" s="6">
        <f t="shared" si="94"/>
        <v>363.94</v>
      </c>
      <c r="P968" s="4" t="str">
        <f t="shared" si="95"/>
        <v>No</v>
      </c>
      <c r="Q968" s="4" t="str">
        <f>IF(OR(A968="",C968="",L968="Missing",M968="Missing",O968="0.00",K968="Missing"),"Review","OK")</f>
        <v>OK</v>
      </c>
    </row>
    <row r="969" spans="1:17" x14ac:dyDescent="0.3">
      <c r="A969">
        <v>1056</v>
      </c>
      <c r="B969" t="s">
        <v>3044</v>
      </c>
      <c r="C969">
        <v>71</v>
      </c>
      <c r="D969">
        <v>0</v>
      </c>
      <c r="E969" s="3">
        <v>46031</v>
      </c>
      <c r="F969" s="3">
        <v>46006</v>
      </c>
      <c r="G969" t="s">
        <v>3045</v>
      </c>
      <c r="H969" t="s">
        <v>29</v>
      </c>
      <c r="I969" t="s">
        <v>3046</v>
      </c>
      <c r="J969">
        <v>0</v>
      </c>
      <c r="K969" t="str">
        <f t="shared" si="90"/>
        <v>Craig Parsons</v>
      </c>
      <c r="L969" t="str">
        <f t="shared" si="91"/>
        <v>Male</v>
      </c>
      <c r="M969" t="str">
        <f t="shared" si="92"/>
        <v>Jose Price</v>
      </c>
      <c r="N969" s="4" t="str">
        <f t="shared" si="93"/>
        <v>General</v>
      </c>
      <c r="O969" s="6">
        <f t="shared" si="94"/>
        <v>323</v>
      </c>
      <c r="P969" s="4" t="str">
        <f t="shared" si="95"/>
        <v>No</v>
      </c>
      <c r="Q969" s="4" t="str">
        <f>IF(OR(A969="",C969="",L969="Missing",M969="Missing",O969="0.00",K969="Missing"),"Review","OK")</f>
        <v>OK</v>
      </c>
    </row>
    <row r="970" spans="1:17" x14ac:dyDescent="0.3">
      <c r="A970">
        <v>1036</v>
      </c>
      <c r="B970" t="s">
        <v>3047</v>
      </c>
      <c r="C970">
        <v>44</v>
      </c>
      <c r="D970" t="s">
        <v>11</v>
      </c>
      <c r="E970" s="3">
        <v>45774</v>
      </c>
      <c r="F970" s="3">
        <v>45639</v>
      </c>
      <c r="G970" t="s">
        <v>3048</v>
      </c>
      <c r="H970" t="s">
        <v>19</v>
      </c>
      <c r="I970" t="s">
        <v>3049</v>
      </c>
      <c r="J970" t="s">
        <v>39</v>
      </c>
      <c r="K970" t="str">
        <f t="shared" si="90"/>
        <v>Cameron Lopez</v>
      </c>
      <c r="L970" t="str">
        <f t="shared" si="91"/>
        <v>Female</v>
      </c>
      <c r="M970" t="str">
        <f t="shared" si="92"/>
        <v>Christopher Williams</v>
      </c>
      <c r="N970" s="4" t="str">
        <f t="shared" si="93"/>
        <v>Orthopedics</v>
      </c>
      <c r="O970" s="6">
        <f t="shared" si="94"/>
        <v>163</v>
      </c>
      <c r="P970" s="4" t="str">
        <f t="shared" si="95"/>
        <v>Yes</v>
      </c>
      <c r="Q970" s="4" t="str">
        <f>IF(OR(A970="",C970="",L970="Missing",M970="Missing",O970="0.00",K970="Missing"),"Review","OK")</f>
        <v>OK</v>
      </c>
    </row>
    <row r="971" spans="1:17" x14ac:dyDescent="0.3">
      <c r="A971">
        <v>1063</v>
      </c>
      <c r="B971" t="s">
        <v>3050</v>
      </c>
      <c r="C971">
        <v>32</v>
      </c>
      <c r="D971" t="s">
        <v>76</v>
      </c>
      <c r="E971" s="3">
        <v>45843</v>
      </c>
      <c r="F971" s="3">
        <v>45661</v>
      </c>
      <c r="G971" t="s">
        <v>1166</v>
      </c>
      <c r="H971" t="s">
        <v>19</v>
      </c>
      <c r="I971" t="s">
        <v>3051</v>
      </c>
      <c r="J971">
        <v>1</v>
      </c>
      <c r="K971" t="str">
        <f t="shared" si="90"/>
        <v>Daniel Green</v>
      </c>
      <c r="L971" t="str">
        <f t="shared" si="91"/>
        <v>Male</v>
      </c>
      <c r="M971" t="str">
        <f t="shared" si="92"/>
        <v>James Fox</v>
      </c>
      <c r="N971" s="4" t="str">
        <f t="shared" si="93"/>
        <v>Orthopedics</v>
      </c>
      <c r="O971" s="6">
        <f t="shared" si="94"/>
        <v>254.14</v>
      </c>
      <c r="P971" s="4" t="str">
        <f t="shared" si="95"/>
        <v>Yes</v>
      </c>
      <c r="Q971" s="4" t="str">
        <f>IF(OR(A971="",C971="",L971="Missing",M971="Missing",O971="0.00",K971="Missing"),"Review","OK")</f>
        <v>OK</v>
      </c>
    </row>
    <row r="972" spans="1:17" x14ac:dyDescent="0.3">
      <c r="A972">
        <v>1081</v>
      </c>
      <c r="B972" t="s">
        <v>3052</v>
      </c>
      <c r="C972">
        <v>32</v>
      </c>
      <c r="D972" t="s">
        <v>23</v>
      </c>
      <c r="E972" s="3">
        <v>46079</v>
      </c>
      <c r="F972" s="3">
        <v>45761</v>
      </c>
      <c r="G972" t="s">
        <v>1646</v>
      </c>
      <c r="H972" t="s">
        <v>25</v>
      </c>
      <c r="I972" t="s">
        <v>3053</v>
      </c>
      <c r="J972">
        <v>0</v>
      </c>
      <c r="K972" t="str">
        <f t="shared" si="90"/>
        <v>William Hatfield</v>
      </c>
      <c r="L972" t="str">
        <f t="shared" si="91"/>
        <v>Male</v>
      </c>
      <c r="M972" t="str">
        <f t="shared" si="92"/>
        <v>Kristen Lopez</v>
      </c>
      <c r="N972" s="4" t="str">
        <f t="shared" si="93"/>
        <v>Neurology</v>
      </c>
      <c r="O972" s="6">
        <f t="shared" si="94"/>
        <v>112.79</v>
      </c>
      <c r="P972" s="4" t="str">
        <f t="shared" si="95"/>
        <v>No</v>
      </c>
      <c r="Q972" s="4" t="str">
        <f>IF(OR(A972="",C972="",L972="Missing",M972="Missing",O972="0.00",K972="Missing"),"Review","OK")</f>
        <v>OK</v>
      </c>
    </row>
    <row r="973" spans="1:17" x14ac:dyDescent="0.3">
      <c r="A973">
        <v>1042</v>
      </c>
      <c r="B973" t="s">
        <v>3054</v>
      </c>
      <c r="C973">
        <v>48</v>
      </c>
      <c r="D973">
        <v>0</v>
      </c>
      <c r="E973" s="3">
        <v>45822</v>
      </c>
      <c r="F973" s="3" t="s">
        <v>1908</v>
      </c>
      <c r="G973" t="s">
        <v>3055</v>
      </c>
      <c r="H973" t="s">
        <v>13</v>
      </c>
      <c r="I973" t="s">
        <v>3056</v>
      </c>
      <c r="J973" t="s">
        <v>21</v>
      </c>
      <c r="K973" t="str">
        <f t="shared" si="90"/>
        <v>Dawn Bryant</v>
      </c>
      <c r="L973" t="str">
        <f t="shared" si="91"/>
        <v>Male</v>
      </c>
      <c r="M973" t="str">
        <f t="shared" si="92"/>
        <v>Charles Nguyen</v>
      </c>
      <c r="N973" s="4" t="str">
        <f t="shared" si="93"/>
        <v>Cardiology</v>
      </c>
      <c r="O973" s="6">
        <f t="shared" si="94"/>
        <v>164.15</v>
      </c>
      <c r="P973" s="4" t="str">
        <f t="shared" si="95"/>
        <v>Yes</v>
      </c>
      <c r="Q973" s="4" t="str">
        <f>IF(OR(A973="",C973="",L973="Missing",M973="Missing",O973="0.00",K973="Missing"),"Review","OK")</f>
        <v>OK</v>
      </c>
    </row>
    <row r="974" spans="1:17" x14ac:dyDescent="0.3">
      <c r="A974">
        <v>1082</v>
      </c>
      <c r="B974" t="s">
        <v>3057</v>
      </c>
      <c r="C974">
        <v>69</v>
      </c>
      <c r="D974" t="s">
        <v>11</v>
      </c>
      <c r="E974" s="3">
        <v>45802</v>
      </c>
      <c r="F974" s="3" t="s">
        <v>3058</v>
      </c>
      <c r="G974" t="s">
        <v>3059</v>
      </c>
      <c r="H974" t="s">
        <v>13</v>
      </c>
      <c r="I974" t="s">
        <v>3060</v>
      </c>
      <c r="J974">
        <v>1</v>
      </c>
      <c r="K974" t="str">
        <f t="shared" si="90"/>
        <v>Joseph Rodriguez</v>
      </c>
      <c r="L974" t="str">
        <f t="shared" si="91"/>
        <v>Female</v>
      </c>
      <c r="M974" t="str">
        <f t="shared" si="92"/>
        <v>Douglas Foster</v>
      </c>
      <c r="N974" s="4" t="str">
        <f t="shared" si="93"/>
        <v>Cardiology</v>
      </c>
      <c r="O974" s="6">
        <f t="shared" si="94"/>
        <v>94.37</v>
      </c>
      <c r="P974" s="4" t="str">
        <f t="shared" si="95"/>
        <v>Yes</v>
      </c>
      <c r="Q974" s="4" t="str">
        <f>IF(OR(A974="",C974="",L974="Missing",M974="Missing",O974="0.00",K974="Missing"),"Review","OK")</f>
        <v>OK</v>
      </c>
    </row>
    <row r="975" spans="1:17" x14ac:dyDescent="0.3">
      <c r="A975">
        <v>1002</v>
      </c>
      <c r="B975" t="s">
        <v>3061</v>
      </c>
      <c r="C975">
        <v>88</v>
      </c>
      <c r="D975" t="s">
        <v>16</v>
      </c>
      <c r="E975" s="3">
        <v>45947</v>
      </c>
      <c r="F975" s="3" t="s">
        <v>212</v>
      </c>
      <c r="G975" t="s">
        <v>3062</v>
      </c>
      <c r="H975" t="s">
        <v>13</v>
      </c>
      <c r="I975" t="s">
        <v>3063</v>
      </c>
      <c r="J975" t="s">
        <v>31</v>
      </c>
      <c r="K975" t="str">
        <f t="shared" si="90"/>
        <v>Bailey Williamson</v>
      </c>
      <c r="L975" t="str">
        <f t="shared" si="91"/>
        <v>Female</v>
      </c>
      <c r="M975" t="str">
        <f t="shared" si="92"/>
        <v>George Singleton</v>
      </c>
      <c r="N975" s="4" t="str">
        <f t="shared" si="93"/>
        <v>Cardiology</v>
      </c>
      <c r="O975" s="6">
        <f t="shared" si="94"/>
        <v>368.53</v>
      </c>
      <c r="P975" s="4" t="str">
        <f t="shared" si="95"/>
        <v>No</v>
      </c>
      <c r="Q975" s="4" t="str">
        <f>IF(OR(A975="",C975="",L975="Missing",M975="Missing",O975="0.00",K975="Missing"),"Review","OK")</f>
        <v>OK</v>
      </c>
    </row>
    <row r="976" spans="1:17" x14ac:dyDescent="0.3">
      <c r="A976">
        <v>1047</v>
      </c>
      <c r="B976" t="s">
        <v>3064</v>
      </c>
      <c r="C976">
        <v>36</v>
      </c>
      <c r="D976">
        <v>1</v>
      </c>
      <c r="E976" s="3">
        <v>46043</v>
      </c>
      <c r="F976" s="3">
        <v>45663</v>
      </c>
      <c r="G976" t="s">
        <v>3065</v>
      </c>
      <c r="H976" t="s">
        <v>19</v>
      </c>
      <c r="I976" t="s">
        <v>3066</v>
      </c>
      <c r="J976">
        <v>0</v>
      </c>
      <c r="K976" t="str">
        <f t="shared" si="90"/>
        <v>Jeffrey Johnston</v>
      </c>
      <c r="L976" t="str">
        <f t="shared" si="91"/>
        <v>Female</v>
      </c>
      <c r="M976" t="str">
        <f t="shared" si="92"/>
        <v>Cynthia Baker</v>
      </c>
      <c r="N976" s="4" t="str">
        <f t="shared" si="93"/>
        <v>Orthopedics</v>
      </c>
      <c r="O976" s="6">
        <f t="shared" si="94"/>
        <v>240.37</v>
      </c>
      <c r="P976" s="4" t="str">
        <f t="shared" si="95"/>
        <v>No</v>
      </c>
      <c r="Q976" s="4" t="str">
        <f>IF(OR(A976="",C976="",L976="Missing",M976="Missing",O976="0.00",K976="Missing"),"Review","OK")</f>
        <v>OK</v>
      </c>
    </row>
    <row r="977" spans="1:17" x14ac:dyDescent="0.3">
      <c r="A977">
        <v>1043</v>
      </c>
      <c r="B977" t="s">
        <v>3067</v>
      </c>
      <c r="C977">
        <v>64</v>
      </c>
      <c r="D977" t="s">
        <v>56</v>
      </c>
      <c r="E977" s="3">
        <v>45956</v>
      </c>
      <c r="F977" s="3">
        <v>45427</v>
      </c>
      <c r="G977" t="s">
        <v>3068</v>
      </c>
      <c r="H977" t="s">
        <v>25</v>
      </c>
      <c r="I977" t="s">
        <v>3069</v>
      </c>
      <c r="J977" t="s">
        <v>21</v>
      </c>
      <c r="K977" t="str">
        <f t="shared" si="90"/>
        <v>Brandy Estes Md</v>
      </c>
      <c r="L977" t="str">
        <f t="shared" si="91"/>
        <v>Male</v>
      </c>
      <c r="M977" t="str">
        <f t="shared" si="92"/>
        <v>Andrea Lam</v>
      </c>
      <c r="N977" s="4" t="str">
        <f t="shared" si="93"/>
        <v>Neurology</v>
      </c>
      <c r="O977" s="6">
        <f t="shared" si="94"/>
        <v>238.59</v>
      </c>
      <c r="P977" s="4" t="str">
        <f t="shared" si="95"/>
        <v>Yes</v>
      </c>
      <c r="Q977" s="4" t="str">
        <f>IF(OR(A977="",C977="",L977="Missing",M977="Missing",O977="0.00",K977="Missing"),"Review","OK")</f>
        <v>OK</v>
      </c>
    </row>
    <row r="978" spans="1:17" x14ac:dyDescent="0.3">
      <c r="A978">
        <v>1072</v>
      </c>
      <c r="B978" t="s">
        <v>3070</v>
      </c>
      <c r="C978">
        <v>38</v>
      </c>
      <c r="D978" t="s">
        <v>16</v>
      </c>
      <c r="E978" s="3">
        <v>45958</v>
      </c>
      <c r="F978" s="3">
        <v>45638</v>
      </c>
      <c r="G978" t="s">
        <v>3071</v>
      </c>
      <c r="H978" t="s">
        <v>29</v>
      </c>
      <c r="I978" t="s">
        <v>3072</v>
      </c>
      <c r="J978">
        <v>0</v>
      </c>
      <c r="K978" t="str">
        <f t="shared" si="90"/>
        <v>Kristin Combs</v>
      </c>
      <c r="L978" t="str">
        <f t="shared" si="91"/>
        <v>Female</v>
      </c>
      <c r="M978" t="str">
        <f t="shared" si="92"/>
        <v>Frank Anderson</v>
      </c>
      <c r="N978" s="4" t="str">
        <f t="shared" si="93"/>
        <v>General</v>
      </c>
      <c r="O978" s="6">
        <f t="shared" si="94"/>
        <v>279.32</v>
      </c>
      <c r="P978" s="4" t="str">
        <f t="shared" si="95"/>
        <v>No</v>
      </c>
      <c r="Q978" s="4" t="str">
        <f>IF(OR(A978="",C978="",L978="Missing",M978="Missing",O978="0.00",K978="Missing"),"Review","OK")</f>
        <v>OK</v>
      </c>
    </row>
    <row r="979" spans="1:17" x14ac:dyDescent="0.3">
      <c r="A979">
        <v>1085</v>
      </c>
      <c r="B979" t="s">
        <v>3073</v>
      </c>
      <c r="C979">
        <v>34</v>
      </c>
      <c r="D979" t="s">
        <v>56</v>
      </c>
      <c r="E979" s="3" t="s">
        <v>3074</v>
      </c>
      <c r="F979" s="3" t="s">
        <v>3075</v>
      </c>
      <c r="G979" t="s">
        <v>3076</v>
      </c>
      <c r="H979" t="s">
        <v>13</v>
      </c>
      <c r="I979" t="s">
        <v>3077</v>
      </c>
      <c r="J979">
        <v>0</v>
      </c>
      <c r="K979" t="str">
        <f t="shared" si="90"/>
        <v>Alex Rowe</v>
      </c>
      <c r="L979" t="str">
        <f t="shared" si="91"/>
        <v>Male</v>
      </c>
      <c r="M979" t="str">
        <f t="shared" si="92"/>
        <v>Derek Doyle</v>
      </c>
      <c r="N979" s="4" t="str">
        <f t="shared" si="93"/>
        <v>Cardiology</v>
      </c>
      <c r="O979" s="6">
        <f t="shared" si="94"/>
        <v>114.8</v>
      </c>
      <c r="P979" s="4" t="str">
        <f t="shared" si="95"/>
        <v>No</v>
      </c>
      <c r="Q979" s="4" t="str">
        <f>IF(OR(A979="",C979="",L979="Missing",M979="Missing",O979="0.00",K979="Missing"),"Review","OK")</f>
        <v>OK</v>
      </c>
    </row>
    <row r="980" spans="1:17" x14ac:dyDescent="0.3">
      <c r="A980">
        <v>1088</v>
      </c>
      <c r="B980" t="s">
        <v>3078</v>
      </c>
      <c r="C980">
        <v>19</v>
      </c>
      <c r="D980" t="s">
        <v>11</v>
      </c>
      <c r="E980" s="3" t="s">
        <v>426</v>
      </c>
      <c r="F980" s="3">
        <v>45775</v>
      </c>
      <c r="G980" t="s">
        <v>1854</v>
      </c>
      <c r="H980" t="s">
        <v>29</v>
      </c>
      <c r="I980" t="s">
        <v>3079</v>
      </c>
      <c r="J980" t="s">
        <v>65</v>
      </c>
      <c r="K980" t="str">
        <f t="shared" si="90"/>
        <v>Kevin Peters</v>
      </c>
      <c r="L980" t="str">
        <f t="shared" si="91"/>
        <v>Female</v>
      </c>
      <c r="M980" t="str">
        <f t="shared" si="92"/>
        <v>Nancy Wilson</v>
      </c>
      <c r="N980" s="4" t="str">
        <f t="shared" si="93"/>
        <v>General</v>
      </c>
      <c r="O980" s="6">
        <f t="shared" si="94"/>
        <v>96.78</v>
      </c>
      <c r="P980" s="4" t="str">
        <f t="shared" si="95"/>
        <v>No</v>
      </c>
      <c r="Q980" s="4" t="str">
        <f>IF(OR(A980="",C980="",L980="Missing",M980="Missing",O980="0.00",K980="Missing"),"Review","OK")</f>
        <v>OK</v>
      </c>
    </row>
    <row r="981" spans="1:17" x14ac:dyDescent="0.3">
      <c r="A981">
        <v>1059</v>
      </c>
      <c r="B981" t="s">
        <v>3080</v>
      </c>
      <c r="C981">
        <v>65</v>
      </c>
      <c r="D981" t="s">
        <v>16</v>
      </c>
      <c r="E981" s="3">
        <v>45862</v>
      </c>
      <c r="F981" s="3" t="s">
        <v>1586</v>
      </c>
      <c r="G981" t="s">
        <v>3081</v>
      </c>
      <c r="H981" t="s">
        <v>25</v>
      </c>
      <c r="I981" t="s">
        <v>3082</v>
      </c>
      <c r="J981">
        <v>0</v>
      </c>
      <c r="K981" t="str">
        <f t="shared" si="90"/>
        <v>Hunter Miller</v>
      </c>
      <c r="L981" t="str">
        <f t="shared" si="91"/>
        <v>Female</v>
      </c>
      <c r="M981" t="str">
        <f t="shared" si="92"/>
        <v>Kathy Lawson</v>
      </c>
      <c r="N981" s="4" t="str">
        <f t="shared" si="93"/>
        <v>Neurology</v>
      </c>
      <c r="O981" s="6">
        <f t="shared" si="94"/>
        <v>384.42</v>
      </c>
      <c r="P981" s="4" t="str">
        <f t="shared" si="95"/>
        <v>No</v>
      </c>
      <c r="Q981" s="4" t="str">
        <f>IF(OR(A981="",C981="",L981="Missing",M981="Missing",O981="0.00",K981="Missing"),"Review","OK")</f>
        <v>OK</v>
      </c>
    </row>
    <row r="982" spans="1:17" x14ac:dyDescent="0.3">
      <c r="A982">
        <v>1028</v>
      </c>
      <c r="B982" t="s">
        <v>3083</v>
      </c>
      <c r="C982">
        <v>43</v>
      </c>
      <c r="D982">
        <v>0</v>
      </c>
      <c r="E982" s="3">
        <v>45841</v>
      </c>
      <c r="F982" s="3">
        <v>45428</v>
      </c>
      <c r="G982" t="s">
        <v>3084</v>
      </c>
      <c r="H982" t="s">
        <v>25</v>
      </c>
      <c r="I982" t="s">
        <v>3085</v>
      </c>
      <c r="J982">
        <v>1</v>
      </c>
      <c r="K982" t="str">
        <f t="shared" si="90"/>
        <v>Rebecca Franklin</v>
      </c>
      <c r="L982" t="str">
        <f t="shared" si="91"/>
        <v>Male</v>
      </c>
      <c r="M982" t="str">
        <f t="shared" si="92"/>
        <v>Daniel Love</v>
      </c>
      <c r="N982" s="4" t="str">
        <f t="shared" si="93"/>
        <v>Neurology</v>
      </c>
      <c r="O982" s="6">
        <f t="shared" si="94"/>
        <v>187.7</v>
      </c>
      <c r="P982" s="4" t="str">
        <f t="shared" si="95"/>
        <v>Yes</v>
      </c>
      <c r="Q982" s="4" t="str">
        <f>IF(OR(A982="",C982="",L982="Missing",M982="Missing",O982="0.00",K982="Missing"),"Review","OK")</f>
        <v>OK</v>
      </c>
    </row>
    <row r="983" spans="1:17" x14ac:dyDescent="0.3">
      <c r="A983">
        <v>1019</v>
      </c>
      <c r="B983" t="s">
        <v>3086</v>
      </c>
      <c r="C983">
        <v>66</v>
      </c>
      <c r="D983" t="s">
        <v>16</v>
      </c>
      <c r="E983" s="3" t="s">
        <v>1300</v>
      </c>
      <c r="F983" s="3">
        <v>45855</v>
      </c>
      <c r="G983" t="s">
        <v>3087</v>
      </c>
      <c r="H983" t="s">
        <v>19</v>
      </c>
      <c r="I983" t="s">
        <v>3088</v>
      </c>
      <c r="J983" t="s">
        <v>31</v>
      </c>
      <c r="K983" t="str">
        <f t="shared" si="90"/>
        <v>David Chapman</v>
      </c>
      <c r="L983" t="str">
        <f t="shared" si="91"/>
        <v>Female</v>
      </c>
      <c r="M983" t="str">
        <f t="shared" si="92"/>
        <v>Rachel Wells</v>
      </c>
      <c r="N983" s="4" t="str">
        <f t="shared" si="93"/>
        <v>Orthopedics</v>
      </c>
      <c r="O983" s="6">
        <f t="shared" si="94"/>
        <v>382.67</v>
      </c>
      <c r="P983" s="4" t="str">
        <f t="shared" si="95"/>
        <v>No</v>
      </c>
      <c r="Q983" s="4" t="str">
        <f>IF(OR(A983="",C983="",L983="Missing",M983="Missing",O983="0.00",K983="Missing"),"Review","OK")</f>
        <v>OK</v>
      </c>
    </row>
    <row r="984" spans="1:17" x14ac:dyDescent="0.3">
      <c r="A984">
        <v>1012</v>
      </c>
      <c r="B984" t="s">
        <v>3089</v>
      </c>
      <c r="C984">
        <v>78</v>
      </c>
      <c r="D984" t="s">
        <v>11</v>
      </c>
      <c r="E984" s="3">
        <v>45853</v>
      </c>
      <c r="F984" s="3">
        <v>45842</v>
      </c>
      <c r="G984" t="s">
        <v>3090</v>
      </c>
      <c r="H984" t="s">
        <v>29</v>
      </c>
      <c r="I984" t="s">
        <v>3091</v>
      </c>
      <c r="J984">
        <v>0</v>
      </c>
      <c r="K984" t="str">
        <f t="shared" si="90"/>
        <v>Timothy Fowler</v>
      </c>
      <c r="L984" t="str">
        <f t="shared" si="91"/>
        <v>Female</v>
      </c>
      <c r="M984" t="str">
        <f t="shared" si="92"/>
        <v>Donna Stephens</v>
      </c>
      <c r="N984" s="4" t="str">
        <f t="shared" si="93"/>
        <v>General</v>
      </c>
      <c r="O984" s="6">
        <f t="shared" si="94"/>
        <v>236.27</v>
      </c>
      <c r="P984" s="4" t="str">
        <f t="shared" si="95"/>
        <v>No</v>
      </c>
      <c r="Q984" s="4" t="str">
        <f>IF(OR(A984="",C984="",L984="Missing",M984="Missing",O984="0.00",K984="Missing"),"Review","OK")</f>
        <v>OK</v>
      </c>
    </row>
    <row r="985" spans="1:17" x14ac:dyDescent="0.3">
      <c r="A985">
        <v>1049</v>
      </c>
      <c r="B985" t="s">
        <v>3092</v>
      </c>
      <c r="C985">
        <v>84</v>
      </c>
      <c r="D985" t="s">
        <v>76</v>
      </c>
      <c r="E985" s="3" t="s">
        <v>756</v>
      </c>
      <c r="F985" s="3">
        <v>45876</v>
      </c>
      <c r="G985" t="s">
        <v>3093</v>
      </c>
      <c r="H985" t="s">
        <v>13</v>
      </c>
      <c r="I985" t="s">
        <v>3094</v>
      </c>
      <c r="J985" t="s">
        <v>21</v>
      </c>
      <c r="K985" t="str">
        <f t="shared" si="90"/>
        <v>Megan Russell</v>
      </c>
      <c r="L985" t="str">
        <f t="shared" si="91"/>
        <v>Male</v>
      </c>
      <c r="M985" t="str">
        <f t="shared" si="92"/>
        <v>Autumn Hill</v>
      </c>
      <c r="N985" s="4" t="str">
        <f t="shared" si="93"/>
        <v>Cardiology</v>
      </c>
      <c r="O985" s="6">
        <f t="shared" si="94"/>
        <v>359.17</v>
      </c>
      <c r="P985" s="4" t="str">
        <f t="shared" si="95"/>
        <v>Yes</v>
      </c>
      <c r="Q985" s="4" t="str">
        <f>IF(OR(A985="",C985="",L985="Missing",M985="Missing",O985="0.00",K985="Missing"),"Review","OK")</f>
        <v>OK</v>
      </c>
    </row>
    <row r="986" spans="1:17" x14ac:dyDescent="0.3">
      <c r="A986">
        <v>1081</v>
      </c>
      <c r="B986" t="s">
        <v>3095</v>
      </c>
      <c r="C986">
        <v>43</v>
      </c>
      <c r="E986" s="3">
        <v>45864</v>
      </c>
      <c r="F986" s="3">
        <v>45436</v>
      </c>
      <c r="G986" t="s">
        <v>3096</v>
      </c>
      <c r="H986" t="s">
        <v>19</v>
      </c>
      <c r="I986" t="s">
        <v>3097</v>
      </c>
      <c r="J986">
        <v>1</v>
      </c>
      <c r="K986" t="str">
        <f t="shared" si="90"/>
        <v>Courtney Wright</v>
      </c>
      <c r="L986" t="str">
        <f t="shared" si="91"/>
        <v>Missing</v>
      </c>
      <c r="M986" t="str">
        <f t="shared" si="92"/>
        <v>Daniel Morris</v>
      </c>
      <c r="N986" s="4" t="str">
        <f t="shared" si="93"/>
        <v>Orthopedics</v>
      </c>
      <c r="O986" s="6">
        <f t="shared" si="94"/>
        <v>362.65</v>
      </c>
      <c r="P986" s="4" t="str">
        <f t="shared" si="95"/>
        <v>Yes</v>
      </c>
      <c r="Q986" s="4" t="str">
        <f>IF(OR(A986="",C986="",L986="Missing",M986="Missing",O986="0.00",K986="Missing"),"Review","OK")</f>
        <v>Review</v>
      </c>
    </row>
    <row r="987" spans="1:17" x14ac:dyDescent="0.3">
      <c r="A987">
        <v>1045</v>
      </c>
      <c r="B987" t="s">
        <v>3098</v>
      </c>
      <c r="C987">
        <v>29</v>
      </c>
      <c r="D987" t="s">
        <v>11</v>
      </c>
      <c r="E987" s="3" t="s">
        <v>535</v>
      </c>
      <c r="F987" s="3">
        <v>45740</v>
      </c>
      <c r="G987" t="s">
        <v>3099</v>
      </c>
      <c r="H987" t="s">
        <v>25</v>
      </c>
      <c r="I987" t="s">
        <v>3100</v>
      </c>
      <c r="J987" t="s">
        <v>31</v>
      </c>
      <c r="K987" t="str">
        <f t="shared" si="90"/>
        <v>Natalie Marquez</v>
      </c>
      <c r="L987" t="str">
        <f t="shared" si="91"/>
        <v>Female</v>
      </c>
      <c r="M987" t="str">
        <f t="shared" si="92"/>
        <v>Jennifer Paul</v>
      </c>
      <c r="N987" s="4" t="str">
        <f t="shared" si="93"/>
        <v>Neurology</v>
      </c>
      <c r="O987" s="6">
        <f t="shared" si="94"/>
        <v>401.58</v>
      </c>
      <c r="P987" s="4" t="str">
        <f t="shared" si="95"/>
        <v>No</v>
      </c>
      <c r="Q987" s="4" t="str">
        <f>IF(OR(A987="",C987="",L987="Missing",M987="Missing",O987="0.00",K987="Missing"),"Review","OK")</f>
        <v>OK</v>
      </c>
    </row>
    <row r="988" spans="1:17" x14ac:dyDescent="0.3">
      <c r="A988">
        <v>1076</v>
      </c>
      <c r="B988" t="s">
        <v>3101</v>
      </c>
      <c r="C988">
        <v>79</v>
      </c>
      <c r="D988" t="s">
        <v>23</v>
      </c>
      <c r="E988" s="3">
        <v>46074</v>
      </c>
      <c r="F988" s="3">
        <v>45512</v>
      </c>
      <c r="G988" t="s">
        <v>3102</v>
      </c>
      <c r="H988" t="s">
        <v>19</v>
      </c>
      <c r="I988" t="s">
        <v>3103</v>
      </c>
      <c r="J988" t="s">
        <v>21</v>
      </c>
      <c r="K988" t="str">
        <f t="shared" si="90"/>
        <v>Sarah Wilson</v>
      </c>
      <c r="L988" t="str">
        <f t="shared" si="91"/>
        <v>Male</v>
      </c>
      <c r="M988" t="str">
        <f t="shared" si="92"/>
        <v>Courtney Foley</v>
      </c>
      <c r="N988" s="4" t="str">
        <f t="shared" si="93"/>
        <v>Orthopedics</v>
      </c>
      <c r="O988" s="6">
        <f t="shared" si="94"/>
        <v>120.7</v>
      </c>
      <c r="P988" s="4" t="str">
        <f t="shared" si="95"/>
        <v>Yes</v>
      </c>
      <c r="Q988" s="4" t="str">
        <f>IF(OR(A988="",C988="",L988="Missing",M988="Missing",O988="0.00",K988="Missing"),"Review","OK")</f>
        <v>OK</v>
      </c>
    </row>
    <row r="989" spans="1:17" x14ac:dyDescent="0.3">
      <c r="A989">
        <v>1047</v>
      </c>
      <c r="B989" t="s">
        <v>3104</v>
      </c>
      <c r="C989">
        <v>54</v>
      </c>
      <c r="D989">
        <v>1</v>
      </c>
      <c r="E989" s="3">
        <v>45810</v>
      </c>
      <c r="F989" s="3">
        <v>45504</v>
      </c>
      <c r="G989" t="s">
        <v>3105</v>
      </c>
      <c r="H989" t="s">
        <v>13</v>
      </c>
      <c r="I989" t="s">
        <v>3106</v>
      </c>
      <c r="J989" t="s">
        <v>39</v>
      </c>
      <c r="K989" t="str">
        <f t="shared" si="90"/>
        <v>Ashley Estes</v>
      </c>
      <c r="L989" t="str">
        <f t="shared" si="91"/>
        <v>Female</v>
      </c>
      <c r="M989" t="str">
        <f t="shared" si="92"/>
        <v>Stephanie Mercer</v>
      </c>
      <c r="N989" s="4" t="str">
        <f t="shared" si="93"/>
        <v>Cardiology</v>
      </c>
      <c r="O989" s="6">
        <f t="shared" si="94"/>
        <v>405.15</v>
      </c>
      <c r="P989" s="4" t="str">
        <f t="shared" si="95"/>
        <v>Yes</v>
      </c>
      <c r="Q989" s="4" t="str">
        <f>IF(OR(A989="",C989="",L989="Missing",M989="Missing",O989="0.00",K989="Missing"),"Review","OK")</f>
        <v>OK</v>
      </c>
    </row>
    <row r="990" spans="1:17" x14ac:dyDescent="0.3">
      <c r="A990">
        <v>1068</v>
      </c>
      <c r="B990" t="s">
        <v>3107</v>
      </c>
      <c r="C990">
        <v>42</v>
      </c>
      <c r="D990" t="s">
        <v>76</v>
      </c>
      <c r="E990" s="3">
        <v>45951</v>
      </c>
      <c r="F990" s="3">
        <v>45747</v>
      </c>
      <c r="G990" t="s">
        <v>3108</v>
      </c>
      <c r="H990" t="s">
        <v>25</v>
      </c>
      <c r="I990" t="s">
        <v>3109</v>
      </c>
      <c r="J990" t="s">
        <v>39</v>
      </c>
      <c r="K990" t="str">
        <f t="shared" si="90"/>
        <v>William Bentley</v>
      </c>
      <c r="L990" t="str">
        <f t="shared" si="91"/>
        <v>Male</v>
      </c>
      <c r="M990" t="str">
        <f t="shared" si="92"/>
        <v>Jacob Mckay</v>
      </c>
      <c r="N990" s="4" t="str">
        <f t="shared" si="93"/>
        <v>Neurology</v>
      </c>
      <c r="O990" s="6">
        <f t="shared" si="94"/>
        <v>263.3</v>
      </c>
      <c r="P990" s="4" t="str">
        <f t="shared" si="95"/>
        <v>Yes</v>
      </c>
      <c r="Q990" s="4" t="str">
        <f>IF(OR(A990="",C990="",L990="Missing",M990="Missing",O990="0.00",K990="Missing"),"Review","OK")</f>
        <v>OK</v>
      </c>
    </row>
    <row r="991" spans="1:17" x14ac:dyDescent="0.3">
      <c r="A991">
        <v>1021</v>
      </c>
      <c r="B991" t="s">
        <v>3110</v>
      </c>
      <c r="C991">
        <v>41</v>
      </c>
      <c r="D991">
        <v>1</v>
      </c>
      <c r="E991" s="3">
        <v>45750</v>
      </c>
      <c r="F991" s="3">
        <v>45526</v>
      </c>
      <c r="G991" t="s">
        <v>3111</v>
      </c>
      <c r="H991" t="s">
        <v>19</v>
      </c>
      <c r="I991" t="s">
        <v>3112</v>
      </c>
      <c r="J991">
        <v>1</v>
      </c>
      <c r="K991" t="str">
        <f t="shared" si="90"/>
        <v>James Carey</v>
      </c>
      <c r="L991" t="str">
        <f t="shared" si="91"/>
        <v>Female</v>
      </c>
      <c r="M991" t="str">
        <f t="shared" si="92"/>
        <v>James Berger</v>
      </c>
      <c r="N991" s="4" t="str">
        <f t="shared" si="93"/>
        <v>Orthopedics</v>
      </c>
      <c r="O991" s="6">
        <f t="shared" si="94"/>
        <v>470.08</v>
      </c>
      <c r="P991" s="4" t="str">
        <f t="shared" si="95"/>
        <v>Yes</v>
      </c>
      <c r="Q991" s="4" t="str">
        <f>IF(OR(A991="",C991="",L991="Missing",M991="Missing",O991="0.00",K991="Missing"),"Review","OK")</f>
        <v>OK</v>
      </c>
    </row>
    <row r="992" spans="1:17" x14ac:dyDescent="0.3">
      <c r="A992">
        <v>1052</v>
      </c>
      <c r="B992" t="s">
        <v>3113</v>
      </c>
      <c r="C992">
        <v>48</v>
      </c>
      <c r="D992" t="s">
        <v>16</v>
      </c>
      <c r="E992" s="3">
        <v>45878</v>
      </c>
      <c r="F992" s="3">
        <v>45773</v>
      </c>
      <c r="G992" t="s">
        <v>3114</v>
      </c>
      <c r="H992" t="s">
        <v>19</v>
      </c>
      <c r="I992" t="s">
        <v>3115</v>
      </c>
      <c r="J992">
        <v>0</v>
      </c>
      <c r="K992" t="str">
        <f t="shared" si="90"/>
        <v>Nicholas Mcdaniel</v>
      </c>
      <c r="L992" t="str">
        <f t="shared" si="91"/>
        <v>Female</v>
      </c>
      <c r="M992" t="str">
        <f t="shared" si="92"/>
        <v>Daniel Smith</v>
      </c>
      <c r="N992" s="4" t="str">
        <f t="shared" si="93"/>
        <v>Orthopedics</v>
      </c>
      <c r="O992" s="6">
        <f t="shared" si="94"/>
        <v>79.73</v>
      </c>
      <c r="P992" s="4" t="str">
        <f t="shared" si="95"/>
        <v>No</v>
      </c>
      <c r="Q992" s="4" t="str">
        <f>IF(OR(A992="",C992="",L992="Missing",M992="Missing",O992="0.00",K992="Missing"),"Review","OK")</f>
        <v>OK</v>
      </c>
    </row>
    <row r="993" spans="1:17" x14ac:dyDescent="0.3">
      <c r="A993">
        <v>1075</v>
      </c>
      <c r="B993" t="s">
        <v>3116</v>
      </c>
      <c r="C993">
        <v>43</v>
      </c>
      <c r="D993" t="s">
        <v>23</v>
      </c>
      <c r="E993" s="3">
        <v>46357</v>
      </c>
      <c r="F993" s="3" t="s">
        <v>3117</v>
      </c>
      <c r="G993" t="s">
        <v>3118</v>
      </c>
      <c r="H993" t="s">
        <v>29</v>
      </c>
      <c r="I993" t="s">
        <v>3119</v>
      </c>
      <c r="J993" t="s">
        <v>21</v>
      </c>
      <c r="K993" t="str">
        <f t="shared" si="90"/>
        <v>Cheryl Rogers</v>
      </c>
      <c r="L993" t="str">
        <f t="shared" si="91"/>
        <v>Male</v>
      </c>
      <c r="M993" t="str">
        <f t="shared" si="92"/>
        <v>Victoria Hansen</v>
      </c>
      <c r="N993" s="4" t="str">
        <f t="shared" si="93"/>
        <v>General</v>
      </c>
      <c r="O993" s="6">
        <f t="shared" si="94"/>
        <v>376.76</v>
      </c>
      <c r="P993" s="4" t="str">
        <f t="shared" si="95"/>
        <v>Yes</v>
      </c>
      <c r="Q993" s="4" t="str">
        <f>IF(OR(A993="",C993="",L993="Missing",M993="Missing",O993="0.00",K993="Missing"),"Review","OK")</f>
        <v>OK</v>
      </c>
    </row>
    <row r="994" spans="1:17" x14ac:dyDescent="0.3">
      <c r="A994">
        <v>1047</v>
      </c>
      <c r="B994" t="s">
        <v>3120</v>
      </c>
      <c r="C994">
        <v>76</v>
      </c>
      <c r="D994">
        <v>0</v>
      </c>
      <c r="E994" s="3">
        <v>46081</v>
      </c>
      <c r="F994" s="3" t="s">
        <v>3121</v>
      </c>
      <c r="G994" t="s">
        <v>941</v>
      </c>
      <c r="H994" t="s">
        <v>13</v>
      </c>
      <c r="I994" t="s">
        <v>3122</v>
      </c>
      <c r="J994">
        <v>0</v>
      </c>
      <c r="K994" t="str">
        <f t="shared" si="90"/>
        <v>Patricia Jackson</v>
      </c>
      <c r="L994" t="str">
        <f t="shared" si="91"/>
        <v>Male</v>
      </c>
      <c r="M994" t="str">
        <f t="shared" si="92"/>
        <v>Jennifer Martin</v>
      </c>
      <c r="N994" s="4" t="str">
        <f t="shared" si="93"/>
        <v>Cardiology</v>
      </c>
      <c r="O994" s="6">
        <f t="shared" si="94"/>
        <v>378.92</v>
      </c>
      <c r="P994" s="4" t="str">
        <f t="shared" si="95"/>
        <v>No</v>
      </c>
      <c r="Q994" s="4" t="str">
        <f>IF(OR(A994="",C994="",L994="Missing",M994="Missing",O994="0.00",K994="Missing"),"Review","OK")</f>
        <v>OK</v>
      </c>
    </row>
    <row r="995" spans="1:17" x14ac:dyDescent="0.3">
      <c r="A995">
        <v>1017</v>
      </c>
      <c r="B995" t="s">
        <v>3123</v>
      </c>
      <c r="C995">
        <v>50</v>
      </c>
      <c r="D995" t="s">
        <v>23</v>
      </c>
      <c r="E995" s="3">
        <v>45821</v>
      </c>
      <c r="F995" s="3">
        <v>45672</v>
      </c>
      <c r="G995" t="s">
        <v>3124</v>
      </c>
      <c r="H995" t="s">
        <v>13</v>
      </c>
      <c r="I995" t="s">
        <v>3125</v>
      </c>
      <c r="J995" t="s">
        <v>21</v>
      </c>
      <c r="K995" t="str">
        <f t="shared" si="90"/>
        <v>Erin Bates</v>
      </c>
      <c r="L995" t="str">
        <f t="shared" si="91"/>
        <v>Male</v>
      </c>
      <c r="M995" t="str">
        <f t="shared" si="92"/>
        <v>Chelsea Harris</v>
      </c>
      <c r="N995" s="4" t="str">
        <f t="shared" si="93"/>
        <v>Cardiology</v>
      </c>
      <c r="O995" s="6">
        <f t="shared" si="94"/>
        <v>370.13</v>
      </c>
      <c r="P995" s="4" t="str">
        <f t="shared" si="95"/>
        <v>Yes</v>
      </c>
      <c r="Q995" s="4" t="str">
        <f>IF(OR(A995="",C995="",L995="Missing",M995="Missing",O995="0.00",K995="Missing"),"Review","OK")</f>
        <v>OK</v>
      </c>
    </row>
    <row r="996" spans="1:17" x14ac:dyDescent="0.3">
      <c r="A996">
        <v>1068</v>
      </c>
      <c r="B996" t="s">
        <v>3126</v>
      </c>
      <c r="C996">
        <v>19</v>
      </c>
      <c r="D996" t="s">
        <v>76</v>
      </c>
      <c r="E996" s="3">
        <v>46048</v>
      </c>
      <c r="F996" s="3">
        <v>45624</v>
      </c>
      <c r="G996" t="s">
        <v>3127</v>
      </c>
      <c r="H996" t="s">
        <v>29</v>
      </c>
      <c r="I996" t="s">
        <v>3128</v>
      </c>
      <c r="J996" t="s">
        <v>21</v>
      </c>
      <c r="K996" t="str">
        <f t="shared" si="90"/>
        <v>Aaron Holder</v>
      </c>
      <c r="L996" t="str">
        <f t="shared" si="91"/>
        <v>Male</v>
      </c>
      <c r="M996" t="str">
        <f t="shared" si="92"/>
        <v>Lauren Ayers</v>
      </c>
      <c r="N996" s="4" t="str">
        <f t="shared" si="93"/>
        <v>General</v>
      </c>
      <c r="O996" s="6">
        <f t="shared" si="94"/>
        <v>377.38</v>
      </c>
      <c r="P996" s="4" t="str">
        <f t="shared" si="95"/>
        <v>Yes</v>
      </c>
      <c r="Q996" s="4" t="str">
        <f>IF(OR(A996="",C996="",L996="Missing",M996="Missing",O996="0.00",K996="Missing"),"Review","OK")</f>
        <v>OK</v>
      </c>
    </row>
    <row r="997" spans="1:17" x14ac:dyDescent="0.3">
      <c r="A997">
        <v>1082</v>
      </c>
      <c r="B997" t="s">
        <v>3129</v>
      </c>
      <c r="C997">
        <v>64</v>
      </c>
      <c r="D997" t="s">
        <v>41</v>
      </c>
      <c r="E997" s="3">
        <v>45914</v>
      </c>
      <c r="F997" s="3">
        <v>45488</v>
      </c>
      <c r="G997" t="s">
        <v>3130</v>
      </c>
      <c r="H997" t="s">
        <v>29</v>
      </c>
      <c r="I997" t="s">
        <v>3131</v>
      </c>
      <c r="J997" t="s">
        <v>39</v>
      </c>
      <c r="K997" t="str">
        <f t="shared" si="90"/>
        <v>Thomas Roman</v>
      </c>
      <c r="L997" t="str">
        <f t="shared" si="91"/>
        <v>Female</v>
      </c>
      <c r="M997" t="str">
        <f t="shared" si="92"/>
        <v>Robert Bass</v>
      </c>
      <c r="N997" s="4" t="str">
        <f t="shared" si="93"/>
        <v>General</v>
      </c>
      <c r="O997" s="6">
        <f t="shared" si="94"/>
        <v>200.43</v>
      </c>
      <c r="P997" s="4" t="str">
        <f t="shared" si="95"/>
        <v>Yes</v>
      </c>
      <c r="Q997" s="4" t="str">
        <f>IF(OR(A997="",C997="",L997="Missing",M997="Missing",O997="0.00",K997="Missing"),"Review","OK")</f>
        <v>OK</v>
      </c>
    </row>
    <row r="998" spans="1:17" x14ac:dyDescent="0.3">
      <c r="A998">
        <v>1008</v>
      </c>
      <c r="B998" t="s">
        <v>3132</v>
      </c>
      <c r="C998">
        <v>67</v>
      </c>
      <c r="D998" t="s">
        <v>16</v>
      </c>
      <c r="E998" s="3">
        <v>45756</v>
      </c>
      <c r="F998" s="3">
        <v>45463</v>
      </c>
      <c r="G998" t="s">
        <v>1229</v>
      </c>
      <c r="H998" t="s">
        <v>29</v>
      </c>
      <c r="I998" t="s">
        <v>3133</v>
      </c>
      <c r="J998" t="s">
        <v>31</v>
      </c>
      <c r="K998" t="str">
        <f t="shared" si="90"/>
        <v>Jack Cooper</v>
      </c>
      <c r="L998" t="str">
        <f t="shared" si="91"/>
        <v>Female</v>
      </c>
      <c r="M998" t="str">
        <f t="shared" si="92"/>
        <v>Christopher Smith</v>
      </c>
      <c r="N998" s="4" t="str">
        <f t="shared" si="93"/>
        <v>General</v>
      </c>
      <c r="O998" s="6">
        <f t="shared" si="94"/>
        <v>244.49</v>
      </c>
      <c r="P998" s="4" t="str">
        <f t="shared" si="95"/>
        <v>No</v>
      </c>
      <c r="Q998" s="4" t="str">
        <f>IF(OR(A998="",C998="",L998="Missing",M998="Missing",O998="0.00",K998="Missing"),"Review","OK")</f>
        <v>OK</v>
      </c>
    </row>
    <row r="999" spans="1:17" x14ac:dyDescent="0.3">
      <c r="A999">
        <v>1022</v>
      </c>
      <c r="B999" t="s">
        <v>1695</v>
      </c>
      <c r="C999">
        <v>28</v>
      </c>
      <c r="D999">
        <v>1</v>
      </c>
      <c r="E999" s="3">
        <v>46066</v>
      </c>
      <c r="F999" s="3">
        <v>45456</v>
      </c>
      <c r="G999" t="s">
        <v>3134</v>
      </c>
      <c r="H999" t="s">
        <v>25</v>
      </c>
      <c r="I999" t="s">
        <v>3135</v>
      </c>
      <c r="J999" t="s">
        <v>65</v>
      </c>
      <c r="K999" t="str">
        <f t="shared" si="90"/>
        <v>Christopher Brown</v>
      </c>
      <c r="L999" t="str">
        <f t="shared" si="91"/>
        <v>Female</v>
      </c>
      <c r="M999" t="str">
        <f t="shared" si="92"/>
        <v>Kimberly Johnson</v>
      </c>
      <c r="N999" s="4" t="str">
        <f t="shared" si="93"/>
        <v>Neurology</v>
      </c>
      <c r="O999" s="6">
        <f t="shared" si="94"/>
        <v>154.47999999999999</v>
      </c>
      <c r="P999" s="4" t="str">
        <f t="shared" si="95"/>
        <v>No</v>
      </c>
      <c r="Q999" s="4" t="str">
        <f>IF(OR(A999="",C999="",L999="Missing",M999="Missing",O999="0.00",K999="Missing"),"Review","OK")</f>
        <v>OK</v>
      </c>
    </row>
    <row r="1000" spans="1:17" x14ac:dyDescent="0.3">
      <c r="A1000">
        <v>1088</v>
      </c>
      <c r="B1000" t="s">
        <v>1405</v>
      </c>
      <c r="C1000">
        <v>65</v>
      </c>
      <c r="D1000" t="s">
        <v>16</v>
      </c>
      <c r="E1000" s="3">
        <v>45842</v>
      </c>
      <c r="F1000" s="3">
        <v>45397</v>
      </c>
      <c r="G1000" t="s">
        <v>3136</v>
      </c>
      <c r="H1000" t="s">
        <v>25</v>
      </c>
      <c r="I1000" t="s">
        <v>3137</v>
      </c>
      <c r="J1000">
        <v>0</v>
      </c>
      <c r="K1000" t="str">
        <f t="shared" si="90"/>
        <v>Michael Sullivan</v>
      </c>
      <c r="L1000" t="str">
        <f t="shared" si="91"/>
        <v>Female</v>
      </c>
      <c r="M1000" t="str">
        <f t="shared" si="92"/>
        <v>Anthony Mccoy</v>
      </c>
      <c r="N1000" s="4" t="str">
        <f t="shared" si="93"/>
        <v>Neurology</v>
      </c>
      <c r="O1000" s="6">
        <f t="shared" si="94"/>
        <v>434.95</v>
      </c>
      <c r="P1000" s="4" t="str">
        <f t="shared" si="95"/>
        <v>No</v>
      </c>
      <c r="Q1000" s="4" t="str">
        <f>IF(OR(A1000="",C1000="",L1000="Missing",M1000="Missing",O1000="0.00",K1000="Missing"),"Review","OK")</f>
        <v>OK</v>
      </c>
    </row>
    <row r="1001" spans="1:17" x14ac:dyDescent="0.3">
      <c r="A1001">
        <v>1003</v>
      </c>
      <c r="B1001" t="s">
        <v>3138</v>
      </c>
      <c r="C1001">
        <v>79</v>
      </c>
      <c r="D1001" t="s">
        <v>76</v>
      </c>
      <c r="E1001" s="3">
        <v>45966</v>
      </c>
      <c r="F1001" s="3">
        <v>45495</v>
      </c>
      <c r="G1001" t="s">
        <v>3139</v>
      </c>
      <c r="H1001" t="s">
        <v>13</v>
      </c>
      <c r="I1001" t="s">
        <v>3140</v>
      </c>
      <c r="J1001" t="s">
        <v>21</v>
      </c>
      <c r="K1001" t="str">
        <f t="shared" si="90"/>
        <v>Perry Crawford</v>
      </c>
      <c r="L1001" t="str">
        <f t="shared" si="91"/>
        <v>Male</v>
      </c>
      <c r="M1001" t="str">
        <f t="shared" si="92"/>
        <v>Marvin Hicks</v>
      </c>
      <c r="N1001" s="4" t="str">
        <f t="shared" si="93"/>
        <v>Cardiology</v>
      </c>
      <c r="O1001" s="6">
        <f t="shared" si="94"/>
        <v>102.23</v>
      </c>
      <c r="P1001" s="4" t="str">
        <f t="shared" si="95"/>
        <v>Yes</v>
      </c>
      <c r="Q1001" s="4" t="str">
        <f>IF(OR(A1001="",C1001="",L1001="Missing",M1001="Missing",O1001="0.00",K1001="Missing"),"Review","OK")</f>
        <v>OK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kavin sreeram</cp:lastModifiedBy>
  <dcterms:created xsi:type="dcterms:W3CDTF">2026-09-07T08:43:12Z</dcterms:created>
  <dcterms:modified xsi:type="dcterms:W3CDTF">2026-09-07T11:41:41Z</dcterms:modified>
</cp:coreProperties>
</file>